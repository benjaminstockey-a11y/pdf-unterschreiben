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dmin\Desktop\Arbeitsprogramme\Zum Weitergeben an Kollegen\"/>
    </mc:Choice>
  </mc:AlternateContent>
  <xr:revisionPtr revIDLastSave="0" documentId="13_ncr:1_{2CFACDF8-4B79-427E-A771-66554907CDBB}" xr6:coauthVersionLast="47" xr6:coauthVersionMax="47" xr10:uidLastSave="{00000000-0000-0000-0000-000000000000}"/>
  <bookViews>
    <workbookView xWindow="-108" yWindow="-108" windowWidth="23256" windowHeight="12456" firstSheet="5" activeTab="6" xr2:uid="{BE6D03C7-3782-4E56-8577-44CEDA99999F}"/>
  </bookViews>
  <sheets>
    <sheet name="Ersatzteil-Rückgabe-Schein" sheetId="1" r:id="rId1"/>
    <sheet name="Ersatzteilbestellung-Kunde" sheetId="2" r:id="rId2"/>
    <sheet name="Ersatzteilbestellung-Monteur" sheetId="3" r:id="rId3"/>
    <sheet name="Garantieteil-Rückgabe-Schein" sheetId="4" r:id="rId4"/>
    <sheet name="Rep.auftrag+Kostenvor." sheetId="5" r:id="rId5"/>
    <sheet name="Urlaubsantrag" sheetId="6" r:id="rId6"/>
    <sheet name="Technischer-Bericht" sheetId="7" r:id="rId7"/>
    <sheet name="Prüfung elektr. Geräte" sheetId="8" r:id="rId8"/>
    <sheet name="Geräteliste" sheetId="18" r:id="rId9"/>
    <sheet name="Typenschild-Text" sheetId="21" r:id="rId10"/>
    <sheet name="_ocr" sheetId="24" state="veryHidden" r:id="rId11"/>
  </sheets>
  <functionGroups builtInGroupCount="19"/>
  <definedNames>
    <definedName name="Datum">#REF!</definedName>
    <definedName name="_xlnm.Print_Area" localSheetId="1">'Ersatzteilbestellung-Kunde'!$A$1:$H$43</definedName>
    <definedName name="_xlnm.Print_Area" localSheetId="2">'Ersatzteilbestellung-Monteur'!$A$1:$L$32</definedName>
    <definedName name="_xlnm.Print_Area" localSheetId="0">'Ersatzteil-Rückgabe-Schein'!$A$1:$J$39</definedName>
    <definedName name="_xlnm.Print_Area" localSheetId="3">'Garantieteil-Rückgabe-Schein'!$A$1:$F$43</definedName>
    <definedName name="_xlnm.Print_Area" localSheetId="7">'Prüfung elektr. Geräte'!$A$1:$AB$67</definedName>
    <definedName name="_xlnm.Print_Area" localSheetId="4">'Rep.auftrag+Kostenvor.'!$A$1:$R$87</definedName>
    <definedName name="_xlnm.Print_Area" localSheetId="6">'Technischer-Bericht'!$A$1:$E$44</definedName>
    <definedName name="_xlnm.Print_Area" localSheetId="5">Urlaubsantrag!$A$1:$K$27</definedName>
  </definedNames>
  <calcPr calcId="191029"/>
</workbook>
</file>

<file path=xl/calcChain.xml><?xml version="1.0" encoding="utf-8"?>
<calcChain xmlns="http://schemas.openxmlformats.org/spreadsheetml/2006/main">
  <c r="O3" i="8" l="1"/>
  <c r="K61" i="8" s="1"/>
  <c r="B2" i="6"/>
  <c r="D60" i="5"/>
  <c r="D59" i="5"/>
  <c r="D58" i="5"/>
  <c r="D57" i="5"/>
  <c r="R56" i="5"/>
  <c r="D56" i="5"/>
  <c r="R6" i="5"/>
  <c r="I1" i="3"/>
  <c r="G1" i="3"/>
  <c r="G1" i="2"/>
</calcChain>
</file>

<file path=xl/sharedStrings.xml><?xml version="1.0" encoding="utf-8"?>
<sst xmlns="http://schemas.openxmlformats.org/spreadsheetml/2006/main" count="716" uniqueCount="532">
  <si>
    <t>Ersatzteil - Rückgabe - Schein</t>
  </si>
  <si>
    <t>Servicetechniker:</t>
  </si>
  <si>
    <t>Kunde / Kommission</t>
  </si>
  <si>
    <t>Rückgabedatum:</t>
  </si>
  <si>
    <t>Servicedatum:</t>
  </si>
  <si>
    <t>Fabrikat:</t>
  </si>
  <si>
    <t>Type:</t>
  </si>
  <si>
    <t>Fahrgestell-Nr.:</t>
  </si>
  <si>
    <t>Betr. Std.:</t>
  </si>
  <si>
    <t>Rückgabegrund</t>
  </si>
  <si>
    <t>1. Überbestand - Ersatzteile wurden bei der Reparatur nicht benötigt</t>
  </si>
  <si>
    <t>2. Falschlieferung - Ersatzteile passen nicht für dieses Gerät</t>
  </si>
  <si>
    <t>3. Überbestand - Lagerbestand vom Servicewagen minimieren</t>
  </si>
  <si>
    <t>4. Kein Umsatz - Ersatzteile werden zu wenig verkauft</t>
  </si>
  <si>
    <t>5. Weitere Gründe:</t>
  </si>
  <si>
    <t>Bemerkungen:</t>
  </si>
  <si>
    <t>Unterschrift des Servicetechnikers</t>
  </si>
  <si>
    <t>Ersatzteilbestellung-Kunde</t>
  </si>
  <si>
    <t>Datum:</t>
  </si>
  <si>
    <t>Dieses Formular gilt nur um dem Kunden Ersatzteile schicken zu lassen und ist nicht für Serviceaufträge zu verwenden!</t>
  </si>
  <si>
    <t>Kundenname:</t>
  </si>
  <si>
    <t>Straße / Hausnummer:</t>
  </si>
  <si>
    <t>PLZ / Ort:</t>
  </si>
  <si>
    <t>Auftraggeber:</t>
  </si>
  <si>
    <t>Telefon:</t>
  </si>
  <si>
    <t>Telefax:</t>
  </si>
  <si>
    <t>Antriebsart:</t>
  </si>
  <si>
    <t>Baujahr:</t>
  </si>
  <si>
    <t>Motor-Nr.:</t>
  </si>
  <si>
    <t>Getriebe-Nr.:</t>
  </si>
  <si>
    <t>Mast-Nr.:</t>
  </si>
  <si>
    <t>Anbaugeräte-Nr.:</t>
  </si>
  <si>
    <t>Versandart:</t>
  </si>
  <si>
    <t>Anlieferung:</t>
  </si>
  <si>
    <t>Paketdienst:</t>
  </si>
  <si>
    <t>Nachtversand:</t>
  </si>
  <si>
    <t>Stück</t>
  </si>
  <si>
    <t>Teile-Nr.</t>
  </si>
  <si>
    <t>Bezeichnung / Abmessungen</t>
  </si>
  <si>
    <t>Unterschrift Auftraggeber</t>
  </si>
  <si>
    <t>Unterschrift Servicetechniker</t>
  </si>
  <si>
    <t>Ersatzteilbestellung-Monteur</t>
  </si>
  <si>
    <t>Dieses Formular gilt nur um den Fahrzeugbestand aufzufüllen und ist nicht für Serviceaufträge zu verwenden!</t>
  </si>
  <si>
    <t>Kennzeichen:</t>
  </si>
  <si>
    <t>Adresse</t>
  </si>
  <si>
    <t>Postleitzahl</t>
  </si>
  <si>
    <t>Wohnort</t>
  </si>
  <si>
    <t>Fach/ Bereitstellungsraum</t>
  </si>
  <si>
    <t>Der Servicetechniker muss nicht den Lagerort raussuchen!</t>
  </si>
  <si>
    <t>Lagerort</t>
  </si>
  <si>
    <t>Garantieteil - Rückgabe - Schein</t>
  </si>
  <si>
    <t>Montage-Auftrag-Nr.:</t>
  </si>
  <si>
    <t>Ist - Zustand des Gerätes vor der Reparatur</t>
  </si>
  <si>
    <t>Schadensursache</t>
  </si>
  <si>
    <t>Schadensbeseitigung</t>
  </si>
  <si>
    <t>Reparaturauftrag</t>
  </si>
  <si>
    <t xml:space="preserve"> Kostenvoranschlag</t>
  </si>
  <si>
    <t>Auftragsnummer:</t>
  </si>
  <si>
    <t>Ansprechpartner</t>
  </si>
  <si>
    <t xml:space="preserve">E-Mail: </t>
  </si>
  <si>
    <t>vorher anrufen</t>
  </si>
  <si>
    <t>Termin absprechen</t>
  </si>
  <si>
    <t>Motorart (Gas/Diesel):</t>
  </si>
  <si>
    <t xml:space="preserve">Zustand der Maschine: </t>
  </si>
  <si>
    <t>Stillstand</t>
  </si>
  <si>
    <t>bedingt einsatzbereit</t>
  </si>
  <si>
    <t>einsatzbereit</t>
  </si>
  <si>
    <t>Auszuführende Arbeiten:</t>
  </si>
  <si>
    <t xml:space="preserve">Reparatur </t>
  </si>
  <si>
    <t>Wartung</t>
  </si>
  <si>
    <t>UVV</t>
  </si>
  <si>
    <t>ASU</t>
  </si>
  <si>
    <t>DGUV V3</t>
  </si>
  <si>
    <t>Gewaltschaden</t>
  </si>
  <si>
    <t>Garantie</t>
  </si>
  <si>
    <t>Teile bestellt / bei :</t>
  </si>
  <si>
    <t>NEIN</t>
  </si>
  <si>
    <t>Daniel</t>
  </si>
  <si>
    <t>Jan</t>
  </si>
  <si>
    <t>Thorsten</t>
  </si>
  <si>
    <t>Maik</t>
  </si>
  <si>
    <t>Julian</t>
  </si>
  <si>
    <t>Lutz</t>
  </si>
  <si>
    <t>Teile-Anlieferung per :</t>
  </si>
  <si>
    <t>Nachtversand</t>
  </si>
  <si>
    <t>Paketdienst (2-3 Tage)</t>
  </si>
  <si>
    <t>Bereitstellung Fach/Lager</t>
  </si>
  <si>
    <t>Gerät zur Reparatur in die Werkstatt holen:</t>
  </si>
  <si>
    <t>Ja</t>
  </si>
  <si>
    <t>Nein</t>
  </si>
  <si>
    <t>Leihgerät erforderlich</t>
  </si>
  <si>
    <t>V8000</t>
  </si>
  <si>
    <t>Arbeitsstunde</t>
  </si>
  <si>
    <t>Urlaubsantrag</t>
  </si>
  <si>
    <t>Nachname:</t>
  </si>
  <si>
    <t>Vorname:</t>
  </si>
  <si>
    <t xml:space="preserve">Urlaub vom:  </t>
  </si>
  <si>
    <t>bis:</t>
  </si>
  <si>
    <t>Arbeitstage:</t>
  </si>
  <si>
    <t>Urlaub genehmigt:</t>
  </si>
  <si>
    <t>ja</t>
  </si>
  <si>
    <t>nein</t>
  </si>
  <si>
    <t>Unterschrift</t>
  </si>
  <si>
    <t>Technischer Bericht</t>
  </si>
  <si>
    <t>Ladegut:</t>
  </si>
  <si>
    <t>Ladegewicht:</t>
  </si>
  <si>
    <t>Bitte Beschreiben Sie:</t>
  </si>
  <si>
    <t>1. Symptome:</t>
  </si>
  <si>
    <t>2. Mögliche Ursachen:</t>
  </si>
  <si>
    <t>3. Änderungen:</t>
  </si>
  <si>
    <t>4. Kommentare:</t>
  </si>
  <si>
    <t>5. beigefügte Fotos:</t>
  </si>
  <si>
    <t xml:space="preserve">Prüfung elektrischer Geräte </t>
  </si>
  <si>
    <t>Prüfprotokoll</t>
  </si>
  <si>
    <t xml:space="preserve">Kunden-Nr.: </t>
  </si>
  <si>
    <t>Prüfprotokoll-Nr.:</t>
  </si>
  <si>
    <t xml:space="preserve">Auftraggeber: </t>
  </si>
  <si>
    <t>Auftrag-Nr.:</t>
  </si>
  <si>
    <t>Auftragnehmer:</t>
  </si>
  <si>
    <t>Gabelstapler-Vertrieb Wolfgang Schlüter GmbH</t>
  </si>
  <si>
    <t>Nordel 2-6,D-49176 Hilter a.T.W.</t>
  </si>
  <si>
    <t>Tel.:+49 (0)5424 2331-15</t>
  </si>
  <si>
    <t>Email: service@Schlueter-Gabelstapler.de</t>
  </si>
  <si>
    <t>Gerät: Fahrgestellnummer :</t>
  </si>
  <si>
    <t xml:space="preserve">Servicetechniker: </t>
  </si>
  <si>
    <t>Prüflingsnr.:</t>
  </si>
  <si>
    <t xml:space="preserve"> Geräteart: </t>
  </si>
  <si>
    <t>Hersteller:</t>
  </si>
  <si>
    <t xml:space="preserve">Typenbezeichnung:  </t>
  </si>
  <si>
    <t>Fabr. Nr.:</t>
  </si>
  <si>
    <t xml:space="preserve">Schutzklasse: </t>
  </si>
  <si>
    <t>Nennleistung:</t>
  </si>
  <si>
    <t>A</t>
  </si>
  <si>
    <t>Nennspannung:</t>
  </si>
  <si>
    <t>V</t>
  </si>
  <si>
    <t xml:space="preserve">Nennstrom: </t>
  </si>
  <si>
    <t>Prüfung nach:</t>
  </si>
  <si>
    <t>DIN VDE 0701-0702</t>
  </si>
  <si>
    <t xml:space="preserve">Erstprüfung </t>
  </si>
  <si>
    <t xml:space="preserve">Wiederholungsprüfung </t>
  </si>
  <si>
    <t>Änderung</t>
  </si>
  <si>
    <t xml:space="preserve"> Instandsetzung</t>
  </si>
  <si>
    <t xml:space="preserve"> E-Check</t>
  </si>
  <si>
    <t>Fehlerbeschreibung</t>
  </si>
  <si>
    <t>Bemerkung</t>
  </si>
  <si>
    <t>Durchgeführte Reparaturarbeiten:</t>
  </si>
  <si>
    <t>Besichtigung:</t>
  </si>
  <si>
    <t>Kennzeichnungen, die der Sicherheit dienen</t>
  </si>
  <si>
    <t>Gehäuse, Schutzabdeckungen</t>
  </si>
  <si>
    <t>Anschlussleitungen u. Stecker</t>
  </si>
  <si>
    <t>Zustand der Isolierungen</t>
  </si>
  <si>
    <t>Zugentlastung, Knickschutz u. Leitungsführung</t>
  </si>
  <si>
    <t>Anzeichen von Überlastung o. unsachgemäßem Gebrauch</t>
  </si>
  <si>
    <t>Unzulässige Eingriffe o. Änderungen</t>
  </si>
  <si>
    <t>Dem Benutzer zugängliche Sicherungshalter u. Sicherungseinsätze</t>
  </si>
  <si>
    <t>Kühlöffnungen u. Luftfilter</t>
  </si>
  <si>
    <t>Befestigungen der Leitungen u. anderer Teile</t>
  </si>
  <si>
    <t>Sicherheitsbeeinträchtigende Verschmutzung o. Korrosion</t>
  </si>
  <si>
    <t>Messpunkt</t>
  </si>
  <si>
    <t>Schutz leiter-Widerstand(Ω)</t>
  </si>
  <si>
    <t>Isolations-Widerstand (MΩ)</t>
  </si>
  <si>
    <t>Schutzleiter-</t>
  </si>
  <si>
    <t>Netzspan-</t>
  </si>
  <si>
    <t>Funktions-</t>
  </si>
  <si>
    <t xml:space="preserve">aufg. </t>
  </si>
  <si>
    <t>strom</t>
  </si>
  <si>
    <t>strom mit Amper-</t>
  </si>
  <si>
    <t>nung</t>
  </si>
  <si>
    <t>prüfung aufg.</t>
  </si>
  <si>
    <t>Leistung</t>
  </si>
  <si>
    <t>(mA)</t>
  </si>
  <si>
    <t>zange (mA)</t>
  </si>
  <si>
    <t>(V)</t>
  </si>
  <si>
    <t>Strom (A)</t>
  </si>
  <si>
    <t>(kW/kVA)</t>
  </si>
  <si>
    <t xml:space="preserve">Sicherheits- und Funktionsprüfung mängelfrei </t>
  </si>
  <si>
    <t>Das Gerät hat erhebliche sicherheitstechnische Mängel</t>
  </si>
  <si>
    <t>Aufschriften vorhanden bzw. vervollständigt</t>
  </si>
  <si>
    <t xml:space="preserve"> Es besteht:</t>
  </si>
  <si>
    <t xml:space="preserve">Nennwerte stimmen mit den Herstellerdaten überein </t>
  </si>
  <si>
    <t>Brandgefahr</t>
  </si>
  <si>
    <t xml:space="preserve">Das Gerät kann nicht mehr instandgesetzt werden </t>
  </si>
  <si>
    <t>Gefahr durch elektrischen Schlag</t>
  </si>
  <si>
    <t>mechanische Gefahr</t>
  </si>
  <si>
    <t xml:space="preserve">Verwendete Messgeräte Fabrikat:  </t>
  </si>
  <si>
    <t>Benning</t>
  </si>
  <si>
    <t>Typ:</t>
  </si>
  <si>
    <t>ST 725</t>
  </si>
  <si>
    <t>Nr.:</t>
  </si>
  <si>
    <t>48L-1451</t>
  </si>
  <si>
    <t>Kalibrierung:</t>
  </si>
  <si>
    <t>MA 1-16</t>
  </si>
  <si>
    <t>16M-0443</t>
  </si>
  <si>
    <t>Verwendete Messgeräte Fabrikat:</t>
  </si>
  <si>
    <t>MA 1-32</t>
  </si>
  <si>
    <t>42P-1226</t>
  </si>
  <si>
    <t>Prüfergebnis mängelfrei</t>
  </si>
  <si>
    <t xml:space="preserve">Prüfplakette am Gerät angebracht </t>
  </si>
  <si>
    <t>Der Prüfling entspricht der Betriebssicherheitsverordnung (BetrSichV)</t>
  </si>
  <si>
    <t>Der Prüfling entspricht nicht der Betriebssicherheitsverordnung.</t>
  </si>
  <si>
    <t>Nächster Prüftermin gemäß BetrSichV</t>
  </si>
  <si>
    <t>Unterschrift:</t>
  </si>
  <si>
    <t>Servicetechniker</t>
  </si>
  <si>
    <t xml:space="preserve">Kunde: </t>
  </si>
  <si>
    <t xml:space="preserve">Ort/Datum/Unterschrift </t>
  </si>
  <si>
    <t>Ort/Datum/Unterschrift</t>
  </si>
  <si>
    <t>|param(</t>
  </si>
  <si>
    <t>|  [string]$Image = "",</t>
  </si>
  <si>
    <t>|  [string]$Folder = "",</t>
  </si>
  <si>
    <t>|  [string]$Out = ""</t>
  </si>
  <si>
    <t>|)</t>
  </si>
  <si>
    <t>|# Typenschild-Erkennung mit der in Windows eingebauten Texterkennung (offline, kostenlos).</t>
  </si>
  <si>
    <t>|# -Folder &lt;Ordner&gt; -Out &lt;Datei&gt;: Testlauf ueber alle Fotos im Ordner</t>
  </si>
  <si>
    <t>|$ErrorActionPreference = "Stop"</t>
  </si>
  <si>
    <t>|$log = $Out + ".log"</t>
  </si>
  <si>
    <t>|function Log($m) { Add-Content -LiteralPath $log -Value ((Get-Date -Format "HH:mm:ss") + " " + $m) -Encoding UTF8 }</t>
  </si>
  <si>
    <t>|Log "start"</t>
  </si>
  <si>
    <t>|trap { Log ("FEHLER: " + $_.Exception.Message + " @ " + $_.InvocationInfo.ScriptLineNumber); break }</t>
  </si>
  <si>
    <t>|Add-Type -AssemblyName System.Drawing</t>
  </si>
  <si>
    <t>|Add-Type -AssemblyName System.Runtime.WindowsRuntime</t>
  </si>
  <si>
    <t>|$null = [Windows.Storage.StorageFile, Windows.Storage, ContentType = WindowsRuntime]</t>
  </si>
  <si>
    <t>|$null = [Windows.Media.Ocr.OcrEngine, Windows.Foundation, ContentType = WindowsRuntime]</t>
  </si>
  <si>
    <t>|$null = [Windows.Graphics.Imaging.BitmapDecoder, Windows.Graphics, ContentType = WindowsRuntime]</t>
  </si>
  <si>
    <t>|$null = [Windows.Graphics.Imaging.SoftwareBitmap, Windows.Graphics, ContentType = WindowsRuntime]</t>
  </si>
  <si>
    <t>|$null = [Windows.Storage.Streams.IRandomAccessStream, Windows.Storage.Streams, ContentType = WindowsRuntime]</t>
  </si>
  <si>
    <t>|</t>
  </si>
  <si>
    <t>|$asTaskGeneric = ([System.WindowsRuntimeSystemExtensions].GetMethods() | Where-Object {</t>
  </si>
  <si>
    <t>|    $_.Name -eq 'AsTask' -and $_.GetParameters().Count -eq 1 -and $_.GetParameters()[0].ParameterType.Name -eq 'IAsyncOperation`1' })[0]</t>
  </si>
  <si>
    <t>|function Await($op, [Type]$t) {</t>
  </si>
  <si>
    <t>|  $task = $asTaskGeneric.MakeGenericMethod($t).Invoke($null, @($op))</t>
  </si>
  <si>
    <t>|  $null = $task.Wait(-1)</t>
  </si>
  <si>
    <t>|  $task.Result</t>
  </si>
  <si>
    <t>|}</t>
  </si>
  <si>
    <t>|$engine = [Windows.Media.Ocr.OcrEngine]::TryCreateFromUserProfileLanguages()</t>
  </si>
  <si>
    <t>|Log ("engine: " + $engine.RecognizerLanguage.LanguageTag)</t>
  </si>
  <si>
    <t>|if ($null -eq $engine) { throw "Keine Windows-Texterkennung verfuegbar (Sprachpaket fehlt)." }</t>
  </si>
  <si>
    <t>|  try {</t>
  </si>
  <si>
    <t>|  $s = 0</t>
  </si>
  <si>
    <t>|  return $s</t>
  </si>
  <si>
    <t>|function Read-Plate([string]$path) {</t>
  </si>
  <si>
    <t>|  $src = [System.Drawing.Image]::FromFile($path)</t>
  </si>
  <si>
    <t>|  $long = [Math]::Max($src.Width, $src.Height)</t>
  </si>
  <si>
    <t>|  $maxDim = [Windows.Media.Ocr.OcrEngine]::MaxImageDimension</t>
  </si>
  <si>
    <t>|  if ($long * $f -gt $maxDim) { $f = $maxDim / $long }</t>
  </si>
  <si>
    <t>|  $w = [int]($src.Width * $f); $h = [int]($src.Height * $f)</t>
  </si>
  <si>
    <t>|  $g.InterpolationMode = [System.Drawing.Drawing2D.InterpolationMode]::HighQualityBicubic</t>
  </si>
  <si>
    <t>|  foreach ($rot in 0, 90, 180, 270) {</t>
  </si>
  <si>
    <t>|  }</t>
  </si>
  <si>
    <t>|function M1([string]$s, [string]$p, [bool]$ci = $true) {</t>
  </si>
  <si>
    <t>|  $o = [System.Text.RegularExpressions.RegexOptions]::None</t>
  </si>
  <si>
    <t>|  if ($ci) { $o = [System.Text.RegularExpressions.RegexOptions]::IgnoreCase }</t>
  </si>
  <si>
    <t>|  return [regex]::Match($s, $p, $o)</t>
  </si>
  <si>
    <t>|$Brands = @(</t>
  </si>
  <si>
    <t>|  @('Jungheinrich','Jungheinrich'), @('\bLinde\b','Linde'), @('\bStill\b','Still'), @('\bBHT\b','BHT'), @('Deltec','Deltec'),</t>
  </si>
  <si>
    <t>|  @('Zivan','Zivan'), @('Mentzer','Mentzer'), @('Benning','Benning'), @('Delta-?Q','Delta-Q'), @('CTEK','CTEK'),</t>
  </si>
  <si>
    <t>|function Parse-Plate($lines) {</t>
  </si>
  <si>
    <t>|  $t = $lines -join "`n"</t>
  </si>
  <si>
    <t>|  $d = [ordered]@{}</t>
  </si>
  <si>
    <t>|  foreach ($b in $Brands) { if ((M1 $t $b[0]).Success) { $d['HERSTELLER'] = $b[1]; break } }</t>
  </si>
  <si>
    <t>|  foreach ($l in $lines) {</t>
  </si>
  <si>
    <t>|  if (-not $d.Contains('TYP')) {</t>
  </si>
  <si>
    <t>|    foreach ($l in $lines) {</t>
  </si>
  <si>
    <t>|      if ($m.Success) { $d['TYP'] = $m.Groups[1].Value.Trim(); break }</t>
  </si>
  <si>
    <t>|    }</t>
  </si>
  <si>
    <t>|    if (-not $m.Success) { $m = M1 $l '(?:Baujahr|Bj\.?|Year)\s*[:.]?\s*((?:19|20)\d{2})' }</t>
  </si>
  <si>
    <t>|    if ($m.Success) {</t>
  </si>
  <si>
    <t>|      $y = $m.Groups[1].Value; if ($y.Length -eq 2) { $y = '20' + $y }</t>
  </si>
  <si>
    <t>|      if ([int]$y -ge 1980 -and [int]$y -le 2035) { $d['BAUJAHR'] = $y; break }</t>
  </si>
  <si>
    <t>|    $m = M1 $l '(\d{3}(?:\s*-\s*\d{3})?)\s*(?:V|1/)' $false</t>
  </si>
  <si>
    <t>|  if (-not $d.Contains('SPANNUNG')) {</t>
  </si>
  <si>
    <t>|    if ((M1 $t '3\s*/?\s*N\s*/?\s*PE|3\s*~|3x\s*400').Success) { $d['SPANNUNG'] = '400' }</t>
  </si>
  <si>
    <t>|    else {</t>
  </si>
  <si>
    <t>|      foreach ($l in $lines) {</t>
  </si>
  <si>
    <t>|        if ((M1 $l 'Ah|DC|out').Success) { continue }</t>
  </si>
  <si>
    <t>|      }</t>
  </si>
  <si>
    <t>|  $m = M1 $t '(?:\bcl|class|Schutzklasse|\bSK)\s*\.?\s*([I1l]{1,3}|[23])\b'</t>
  </si>
  <si>
    <t>|  if ($m.Success) { $g = $m.Groups[1].Value; if ($g -eq '2' -or $g -eq '3') { $d['SCHUTZKLASSE'] = $g } else { $d['SCHUTZKLASSE'] = [string]$g.Length } }</t>
  </si>
  <si>
    <t>|function Format-Result($d) { (@($d.Keys | ForEach-Object { $_ + '=' + $d[$_] }) -join "`r`n") }</t>
  </si>
  <si>
    <t>|if ($Folder) {</t>
  </si>
  <si>
    <t>|  Get-ChildItem -LiteralPath $Folder -File | Where-Object { $_.Extension -match '^\.(jpe?g|png)$' } | Sort-Object Name | ForEach-Object {</t>
  </si>
  <si>
    <t>|    [System.IO.File]::AppendAllText($Out, $part, (New-Object System.Text.UTF8Encoding $false))</t>
  </si>
  <si>
    <t>|} else {</t>
  </si>
  <si>
    <t>|  [void]$sb.AppendLine("#ROH")</t>
  </si>
  <si>
    <t>|  [System.IO.File]::WriteAllText($Out, $sb.ToString(), (New-Object System.Text.UTF8Encoding $true))</t>
  </si>
  <si>
    <t>|Log "fertig"</t>
  </si>
  <si>
    <t>|  @('Hawker','Hawker'), @('\bGNB\b','GNB'), @('K(ä|a)rcher','Kärcher'), @('CHARIS|\bIES\b','IES'), @('\bFerro\b','Ferro')</t>
  </si>
  <si>
    <t>|function Fix-Token([string]$l) {</t>
  </si>
  <si>
    <t>|    param($m)</t>
  </si>
  <si>
    <t>|    $n = $m.Groups[1].Value</t>
  </si>
  <si>
    <t>|    if ($n -notmatch '[0-9O]') { return $m.Value }</t>
  </si>
  <si>
    <t>|  })</t>
  </si>
  <si>
    <t>|  $lines = @($lines | Where-Object { $_ -and $_.Trim() } | ForEach-Object { Fix-Token $_ })</t>
  </si>
  <si>
    <t>|  $ch = M1 $t 'CHARIS\s*HF\s*(\d)'</t>
  </si>
  <si>
    <t>|  if ($ch.Success) { $d['TYP'] = 'Charis HF' + $ch.Groups[1].Value }</t>
  </si>
  <si>
    <t>|  if (-not $d.Contains('STROM')) {</t>
  </si>
  <si>
    <t>|  if (-not $d.Contains('LEISTUNG')) {</t>
  </si>
  <si>
    <t>|  if (-not $d.Contains('SCHUTZKLASSE')) { $d['SCHUTZKLASSE'] = '1' }</t>
  </si>
  <si>
    <t>|# -Image &lt;Foto&gt; -Out &lt;Datei&gt;   : liest ein Foto, schreibt SCHLUESSEL=Wert-Zeilen, danach #ROH und den erkannten Text</t>
  </si>
  <si>
    <t>|function Ocr-Bitmap([System.Drawing.Bitmap]$bmp) {</t>
  </si>
  <si>
    <t>|  $tmp = Join-Path $env:TEMP ("tsocr_" + [guid]::NewGuid().ToString("N") + ".bmp")</t>
  </si>
  <si>
    <t>|  $bmp.Save($tmp, [System.Drawing.Imaging.ImageFormat]::Bmp)</t>
  </si>
  <si>
    <t>|    $file = Await ([Windows.Storage.StorageFile]::GetFileFromPathAsync($tmp)) ([Windows.Storage.StorageFile])</t>
  </si>
  <si>
    <t>|    $stream = Await ($file.OpenAsync([Windows.Storage.FileAccessMode]::Read)) ([Windows.Storage.Streams.IRandomAccessStream])</t>
  </si>
  <si>
    <t>|    try {</t>
  </si>
  <si>
    <t>|      $dec = Await ([Windows.Graphics.Imaging.BitmapDecoder]::CreateAsync($stream)) ([Windows.Graphics.Imaging.BitmapDecoder])</t>
  </si>
  <si>
    <t>|      $sbmp = Await ($dec.GetSoftwareBitmapAsync()) ([Windows.Graphics.Imaging.SoftwareBitmap])</t>
  </si>
  <si>
    <t>|      return (Await ($engine.RecognizeAsync($sbmp)) ([Windows.Media.Ocr.OcrResult]))</t>
  </si>
  <si>
    <t>|    } finally { $stream.Dispose() }</t>
  </si>
  <si>
    <t>|  } finally { Remove-Item $tmp -ErrorAction SilentlyContinue }</t>
  </si>
  <si>
    <t>|# Woerter anhand ihrer Position wieder zu Zeilen zusammensetzen (Beschriftung + Wert)</t>
  </si>
  <si>
    <t>|function Build-Rows($res) {</t>
  </si>
  <si>
    <t>|  $ws = New-Object System.Collections.ArrayList</t>
  </si>
  <si>
    <t>|  foreach ($ln in $res.Lines) { foreach ($w in $ln.Words) {</t>
  </si>
  <si>
    <t>|    $r = $w.BoundingRect</t>
  </si>
  <si>
    <t>|    [void]$ws.Add([pscustomobject]@{ T = $w.Text; X = $r.X; Y = ($r.Y + $r.Height / 2); H = $r.Height })</t>
  </si>
  <si>
    <t>|  } }</t>
  </si>
  <si>
    <t>|  if ($ws.Count -eq 0) { return ,@() }</t>
  </si>
  <si>
    <t>|  $hs = @($ws | ForEach-Object { $_.H } | Sort-Object)</t>
  </si>
  <si>
    <t>|  $mh = $hs[[int]($hs.Count / 2)]</t>
  </si>
  <si>
    <t>|  $rows = New-Object System.Collections.ArrayList</t>
  </si>
  <si>
    <t>|  foreach ($w in ($ws | Sort-Object Y)) {</t>
  </si>
  <si>
    <t>|    $hit = $null</t>
  </si>
  <si>
    <t>|    foreach ($row in $rows) { if ([Math]::Abs($w.Y - $row.Y) -lt 0.55 * $mh) { $hit = $row; break } }</t>
  </si>
  <si>
    <t>|    if ($hit) { [void]$hit.W.Add($w); $hit.Y = ($hit.Y * ($hit.W.Count - 1) + $w.Y) / $hit.W.Count }</t>
  </si>
  <si>
    <t>|    else { $nw = New-Object System.Collections.ArrayList; [void]$nw.Add($w); [void]$rows.Add([pscustomobject]@{ Y = $w.Y; W = $nw }) }</t>
  </si>
  <si>
    <t>|  return ,@($rows | Sort-Object Y | ForEach-Object { (@($_.W | Sort-Object X | ForEach-Object { $_.T }) -join ' ') })</t>
  </si>
  <si>
    <t>|function Score($res) {</t>
  </si>
  <si>
    <t>|  # Punkte fuer echte Typenschild-Woerter, damit kopfueber gelesener Buchstabensalat verliert</t>
  </si>
  <si>
    <t>|  $t = (@($res.Lines | ForEach-Object { $_.Text }) -join "`n")</t>
  </si>
  <si>
    <t>|  $s += 4 * ([regex]::Matches($t, '(?i)\b(type|typ|input|output|model|serial|ser|volts?|amps?|date|hz|nr|no|batter\w*|charger|ladeger\w*|made|ger(ä|a)te)\b')).Count</t>
  </si>
  <si>
    <t>|  $s += 3 * ([regex]::Matches($t, '\d\s*(V|A|Hz|kW|kVA|Ah)\b')).Count</t>
  </si>
  <si>
    <t>|  foreach ($l in $res.Lines) { foreach ($w in $l.Words) { if ($w.Text -match '^[A-Za-z0-9/.,:\-]{3,}$' -and $w.Text -match '[aeiouAEIOU0-9]') { $s++ } } }</t>
  </si>
  <si>
    <t>|function Scale-Bitmap([System.Drawing.Image]$src, [int]$target, [bool]$contrast) {</t>
  </si>
  <si>
    <t>|  $f = [double]$target / $long</t>
  </si>
  <si>
    <t>|  $bmp = New-Object System.Drawing.Bitmap $w, $h, ([System.Drawing.Imaging.PixelFormat]::Format24bppRgb)</t>
  </si>
  <si>
    <t>|  $g = [System.Drawing.Graphics]::FromImage($bmp)</t>
  </si>
  <si>
    <t>|  $g.Clear([System.Drawing.Color]::White)</t>
  </si>
  <si>
    <t>|  if ($contrast) {</t>
  </si>
  <si>
    <t>|    $c = 1.3; $t = 0.5 * (1 - $c)</t>
  </si>
  <si>
    <t>|    $cm = New-Object System.Drawing.Imaging.ColorMatrix</t>
  </si>
  <si>
    <t>|    $cm.Matrix00 = 0.299 * $c; $cm.Matrix01 = 0.299 * $c; $cm.Matrix02 = 0.299 * $c</t>
  </si>
  <si>
    <t>|    $cm.Matrix10 = 0.587 * $c; $cm.Matrix11 = 0.587 * $c; $cm.Matrix12 = 0.587 * $c</t>
  </si>
  <si>
    <t>|    $cm.Matrix20 = 0.114 * $c; $cm.Matrix21 = 0.114 * $c; $cm.Matrix22 = 0.114 * $c</t>
  </si>
  <si>
    <t>|    $cm.Matrix33 = 1; $cm.Matrix40 = $t; $cm.Matrix41 = $t; $cm.Matrix42 = $t; $cm.Matrix44 = 1</t>
  </si>
  <si>
    <t>|    $ia = New-Object System.Drawing.Imaging.ImageAttributes</t>
  </si>
  <si>
    <t>|    $ia.SetColorMatrix($cm)</t>
  </si>
  <si>
    <t>|    $g.DrawImage($src, (New-Object System.Drawing.Rectangle 0, 0, $w, $h), 0, 0, $src.Width, $src.Height, [System.Drawing.GraphicsUnit]::Pixel, $ia)</t>
  </si>
  <si>
    <t>|  } else {</t>
  </si>
  <si>
    <t>|    $g.DrawImage($src, 0, 0, $w, $h)</t>
  </si>
  <si>
    <t>|  $g.Dispose()</t>
  </si>
  <si>
    <t>|  return $bmp</t>
  </si>
  <si>
    <t>|  # EXIF-Drehung des Handys beachten</t>
  </si>
  <si>
    <t>|    $o = $src.GetPropertyItem(0x0112).Value[0]</t>
  </si>
  <si>
    <t>|    switch ($o) { 3 { $src.RotateFlip('Rotate180FlipNone') } 6 { $src.RotateFlip('Rotate90FlipNone') } 8 { $src.RotateFlip('Rotate270FlipNone') } }</t>
  </si>
  <si>
    <t>|  } catch {}</t>
  </si>
  <si>
    <t>|  $small = Scale-Bitmap $src 1600 $false</t>
  </si>
  <si>
    <t>|  $bestScore = -1; $bestRot = 0; $scores = @()</t>
  </si>
  <si>
    <t>|    $copy = $small.Clone()</t>
  </si>
  <si>
    <t>|    switch ($rot) { 90 { $copy.RotateFlip('Rotate90FlipNone') } 180 { $copy.RotateFlip('Rotate180FlipNone') } 270 { $copy.RotateFlip('Rotate270FlipNone') } }</t>
  </si>
  <si>
    <t>|    $res = Ocr-Bitmap $copy; $copy.Dispose()</t>
  </si>
  <si>
    <t>|    $sc = Score $res; $scores += "$rot=$sc"</t>
  </si>
  <si>
    <t>|    if ($sc -gt $bestScore) { $bestScore = $sc; $bestRot = $rot }</t>
  </si>
  <si>
    <t>|  $small.Dispose()</t>
  </si>
  <si>
    <t>|  $bestRes = Ocr-Bitmap $a; $a.Dispose()</t>
  </si>
  <si>
    <t>|  # zweite Variante: groesser und in Graustufen mit etwas mehr Kontrast</t>
  </si>
  <si>
    <t>|  $rowsA = Build-Rows $bestRes; $rowsB = Build-Rows $resB</t>
  </si>
  <si>
    <t>|  $linesA = @($bestRes.Lines | ForEach-Object { $_.Text }); $linesB = @($resB.Lines | ForEach-Object { $_.Text })</t>
  </si>
  <si>
    <t>|# ---------------- Werte aus dem Text holen ----------------</t>
  </si>
  <si>
    <t>|function Num([string]$v) { return ($v -replace ',', '.') }</t>
  </si>
  <si>
    <t>|  $l = [regex]::Replace($l, '\b(\d{1,2})\s?S\s?A\b', '$1.5A')</t>
  </si>
  <si>
    <t>|  # typische Lesefehler in Zahlen: "IOA" -&gt; "10A", "23OV" -&gt; "230V"</t>
  </si>
  <si>
    <t>|  return [regex]::Replace($l, '\b([0-9IOloS]{2,4})([AV])\b', {</t>
  </si>
  <si>
    <t>|    ($n -replace '[Il]', '1' -replace '[Oo]', '0' -replace 'S', '5') + $m.Groups[2].Value</t>
  </si>
  <si>
    <t>|function Norm-Volt([string]$v) {</t>
  </si>
  <si>
    <t>|  $v = ($v -replace '\s', '')</t>
  </si>
  <si>
    <t>|  if ($v -match '^(\d{2,3})-(\d{3})$') {</t>
  </si>
  <si>
    <t>|    $lo = [int]$Matches[1]; $hi = [int]$Matches[2]</t>
  </si>
  <si>
    <t>|    if ($lo -le 230 -and $hi -ge 230 -and $hi -lt 300) { return '230' }</t>
  </si>
  <si>
    <t>|    if ($lo -le 400 -and $hi -ge 400) { return '400' }</t>
  </si>
  <si>
    <t>|    return $v</t>
  </si>
  <si>
    <t>|  if ($v -match '^2[23]\d$') { return '230' }</t>
  </si>
  <si>
    <t>|  if ($v -match '^(38\d|39\d|40\d|41\d)$') { return '400' }</t>
  </si>
  <si>
    <t>|  return $v</t>
  </si>
  <si>
    <t>|  @('micro\s*power','Micropower'), @('\bIEB\b|ELEKTRONIK\s+Brilon|\bBrilon\b','IEB'), @('AXIMA','AXIMA'),</t>
  </si>
  <si>
    <t>|  @('S\.?\s*p\.?\s*E\.?\s*(ELETTRONICA|INDUSTRIALE)|CREVALCORE|\bS\.P\.E\b','SPE'), @('Exide','Exide'), @('Nil\s*f\s*isk|vNiIfisk','Nilfisk'),</t>
  </si>
  <si>
    <t>|  @('\biaE\b|powertron|Untergr','iaE'), @('Fronius','Fronius'), @('Hoppecke','Hoppecke'), @('EnerSys','EnerSys'),</t>
  </si>
  <si>
    <t>|$StopLabels = '\s*[•·|].*$|\s+(?:Before|Charger|read|For|S/?N|SN|SER(?:IAL)?|P/N|CP/N|DATE|DAT|Datum|INPUT|IN|OUT|OUTPUT|Ue|Ua|Batterie\S*|CE)\b.*$'</t>
  </si>
  <si>
    <t>|  # ---- Typ ----</t>
  </si>
  <si>
    <t>|      if ((M1 $l 'Batter|Bat\.|Setting|Gewicht|Weight').Success) { continue }</t>
  </si>
  <si>
    <t>|      $m = M1 $l '(?:^|\s)(?:TYPE?|Mod[eo]ll?)\s*[:.]?\s+([A-Za-z0-9].{2,})$'</t>
  </si>
  <si>
    <t>|      if ($m.Success) {</t>
  </si>
  <si>
    <t>|        $v = ([regex]::Replace($m.Groups[1].Value, $StopLabels, '', 'IgnoreCase')).Trim(' ', ':', '.')</t>
  </si>
  <si>
    <t>|        if ($v.Length -ge 3 -and ($v -match '\d' -or $v -cmatch '^[A-Z]{4}')) { $d['TYP'] = $v; break }</t>
  </si>
  <si>
    <t>|      $m = M1 $l '(powertron\s+[A-Z]{1,2})\b'</t>
  </si>
  <si>
    <t>|      if (-not $m.Success) { $m = M1 $l '\bM[.,]\s*(C[A-Z0-9]+(?:\s*NA)?\s+\d{2}-\d{1,2})' }</t>
  </si>
  <si>
    <t>|      if (-not $m.Success) { $m = M1 $l '\b(SP\d{2}S\d{3}S-?\d{3,5})' }</t>
  </si>
  <si>
    <t>|  # ---- Fabrik-/Seriennummer ----</t>
  </si>
  <si>
    <t>|    $m = M1 $l 'Ger(ä|a)te-?\s*Nr\.?\s*[:.]?\s*(\d[\d ]{4,}\d)'</t>
  </si>
  <si>
    <t>|    if ($m.Success) { $d['FABRNR'] = ($m.Groups[2].Value -replace '\s+', ' ').Trim(); break }</t>
  </si>
  <si>
    <t>|    $m = M1 $l '(?:S/N|\bSN\b|Se[rn][il]?(?:al)?\.?\s*(?:No|Nr|#)\.?|Sen\.?\s*No\.?|Serien-?\s*Nr\.?|N\S?\s*s(é|e)rie|Fabr?\.?\s*-?\s*Nr\.?|\bSER\b\.?)\s*[:.#]?\s*([A-Z0-9][A-Z0-9\-/]{3,})'</t>
  </si>
  <si>
    <t>|    if ($m.Success -and $m.Groups[2].Value -match '\d') { $d['FABRNR'] = $m.Groups[2].Value; break }</t>
  </si>
  <si>
    <t>|  if (-not $d.Contains('FABRNR')) {</t>
  </si>
  <si>
    <t>|    $m = M1 $t '\*\s*(\d{5,14})\s*\*'</t>
  </si>
  <si>
    <t>|    if ($m.Success) { $d['FABRNR'] = $m.Groups[1].Value }</t>
  </si>
  <si>
    <t>|    $m = M1 $t '\b([A-Z]{3}-SW\d{6,})'</t>
  </si>
  <si>
    <t>|      if ((M1 $l 'P\S?N|PIN|Art|Sales|Order|Prod|REF').Success) { continue }</t>
  </si>
  <si>
    <t>|      if ($l -match '^\s*([1-9]\d{9,13})\s*$') { $d['FABRNR'] = $Matches[1]; break }</t>
  </si>
  <si>
    <t>|  # ---- Baujahr ----</t>
  </si>
  <si>
    <t>|    if (-not $m.Success) { $m = M1 $l '^\s*\d{2}\s*/\s*((?:19|20)\d{2})\s*$' }</t>
  </si>
  <si>
    <t>|    if (-not $m.Success) { $m = M1 $l '(?&lt;![\d.])\d{2}\.\d{2}\.((?:19|20)\d{2})(?![\d.])' }</t>
  </si>
  <si>
    <t>|  # ---- Netzseite: Spannung + Strom ----</t>
  </si>
  <si>
    <t>|  # 1) Abschnitts-Schreibweise (Exide): "Input" ... "Volts 230" "Amps 5.0"</t>
  </si>
  <si>
    <t>|  $sec = ''</t>
  </si>
  <si>
    <t>|    if ($l -match '^\s*(Input|Eingang)\b') { $sec = 'in' } elseif ($l -match '^\s*(Output|Ausgang)\b') { $sec = 'out' }</t>
  </si>
  <si>
    <t>|    $mv = M1 $l '\bVolt\S*\s*[:.]?\s*(\d{2,3})\b'</t>
  </si>
  <si>
    <t>|    $ma = M1 $l '\bAmp\S*\s*[:.]?\s*(\d{1,3}(?:[.,]\d+)?)\b'</t>
  </si>
  <si>
    <t>|    if ($sec -eq 'in') {</t>
  </si>
  <si>
    <t>|      if ($mv.Success -and -not $d.Contains('SPANNUNG')) { $d['SPANNUNG'] = $mv.Groups[1].Value }</t>
  </si>
  <si>
    <t>|      if ($ma.Success -and -not $d.Contains('STROM')) { $d['STROM'] = Num $ma.Groups[1].Value }</t>
  </si>
  <si>
    <t>|    } elseif ($sec -eq 'out') {</t>
  </si>
  <si>
    <t>|      if ($ma.Success -and -not $d.Contains('LEISTUNG')) { $d['LEISTUNG'] = Num $ma.Groups[1].Value }</t>
  </si>
  <si>
    <t>|  # 2) IEB-Schreibweise: "Ue 230V~ Ie N 6,1 A", "Ua 24V Ia N 50 A"</t>
  </si>
  <si>
    <t>|    $m = M1 $l '\bUe\b\D{0,4}(\d{3})\s*V' $false</t>
  </si>
  <si>
    <t>|    if ($m.Success -and -not $d.Contains('SPANNUNG')) { $d['SPANNUNG'] = $m.Groups[1].Value }</t>
  </si>
  <si>
    <t>|    $m = M1 $l '\bIe\s*N?\b\D{0,4}(\d{1,2}(?:[.,]\d+)?)\s*A\b' $false</t>
  </si>
  <si>
    <t>|    if ($m.Success -and -not $d.Contains('STROM')) { $d['STROM'] = Num $m.Groups[1].Value }</t>
  </si>
  <si>
    <t>|    $m = M1 $l '\bIa\s*N?\b\D{0,4}(\d{1,3}(?:[.,]\d+)?)\s*A\b' $false</t>
  </si>
  <si>
    <t>|    if ($m.Success -and -not $d.Contains('LEISTUNG')) { $d['LEISTUNG'] = Num $m.Groups[1].Value }</t>
  </si>
  <si>
    <t>|  # 3) Zeilen mit Input/IN/AC/Netz (alles ab "OUT" abschneiden)</t>
  </si>
  <si>
    <t>|  foreach ($l0 in $lines) {</t>
  </si>
  <si>
    <t>|    $l = [regex]::Split($l0, '(?i)\bOUT')[0]</t>
  </si>
  <si>
    <t>|    if (-not (M1 $l 'input|^\s*IN\b|\bIN\.|\bin\s+AC|netz|eingang|prim|VAC|\bAC\b|1x|3x|~|N\s*PE').Success) { continue }</t>
  </si>
  <si>
    <t>|    if (-not $m.Success) { $m = M1 $l '^\s*IN\.?\s+(\d{3})\b' }</t>
  </si>
  <si>
    <t>|    if (-not $m.Success) { continue }</t>
  </si>
  <si>
    <t>|    if (-not $d.Contains('SPANNUNG')) { $d['SPANNUNG'] = ($m.Groups[1].Value -replace '\s', '') }</t>
  </si>
  <si>
    <t>|    $rest = $l.Substring($m.Index + $m.Length)</t>
  </si>
  <si>
    <t>|    $nv = M1 $rest '\d+\s*V' $false</t>
  </si>
  <si>
    <t>|    if ($nv.Success) { $rest = $rest.Substring(0, $nv.Index) }</t>
  </si>
  <si>
    <t>|    $a = M1 $rest '(\d{1,2}(?:[.,]\d+)?)(?:\s*-\s*\d{1,2}(?:[.,]\d+)?)?\s*A\b' $false</t>
  </si>
  <si>
    <t>|    if ($a.Success -and -not $d.Contains('STROM')) { $d['STROM'] = Num $a.Groups[1].Value }</t>
  </si>
  <si>
    <t>|    if ($d.Contains('STROM')) { break }</t>
  </si>
  <si>
    <t>|  # Strom in eigener Zeile: "3 N PE 12,9 A", "IN. 6 A MAX", "50-60Hz 10A"</t>
  </si>
  <si>
    <t>|      if ((M1 $l 'DC|out|Ah\b').Success) { continue }</t>
  </si>
  <si>
    <t>|      $m = M1 $l '(?:N\s*PE|\bIN\.?|Hz)\D{0,6}?(\d{1,2}(?:[.,]\d+)?)\s*A\b'</t>
  </si>
  <si>
    <t>|      if ($m.Success) { $d['STROM'] = Num $m.Groups[1].Value; break }</t>
  </si>
  <si>
    <t>|  if ($d.Contains('SPANNUNG')) { $d['SPANNUNG'] = Norm-Volt $d['SPANNUNG'] }</t>
  </si>
  <si>
    <t>|    elseif ((M1 $t '1\s*/?\s*N\s*/?\s*PE|1x\s*2[23]0').Success) { $d['SPANNUNG'] = '230' }</t>
  </si>
  <si>
    <t>|        $m = M1 $l '(?&lt;![\d.,])(220-240|100-240|200-240|380-415|230|400)(?![\d.,])' $false</t>
  </si>
  <si>
    <t>|        if ($m.Success) {</t>
  </si>
  <si>
    <t>|          $d['SPANNUNG'] = Norm-Volt $m.Groups[1].Value</t>
  </si>
  <si>
    <t>|          if (-not $d.Contains('STROM')) {</t>
  </si>
  <si>
    <t>|            $rest = $l.Substring($m.Index + $m.Length) -replace '^\s*V', ''</t>
  </si>
  <si>
    <t>|            $nv = M1 $rest '\d+\s*V' $false</t>
  </si>
  <si>
    <t>|            if ($nv.Success) { $rest = $rest.Substring(0, $nv.Index) }</t>
  </si>
  <si>
    <t>|            $a = M1 $rest '(\d{1,2}(?:[.,]\d+)?)(?:\s*-\s*\d{1,2}(?:[.,]\d+)?)?\s*A\b' $false</t>
  </si>
  <si>
    <t>|            if ($a.Success) { $d['STROM'] = Num $a.Groups[1].Value }</t>
  </si>
  <si>
    <t>|          }</t>
  </si>
  <si>
    <t>|          break</t>
  </si>
  <si>
    <t>|        }</t>
  </si>
  <si>
    <t>|  # ---- Ladestrom (Ausgang) -&gt; Feld "Nennleistung" in A ----</t>
  </si>
  <si>
    <t>|      $m = M1 $l '\b(\d{1,2})\s*V\s*(?:DC|[^\d\s]{1,2})?\s*(\d{1,3}(?:[.,]\d+)?)(?:\s*-\s*(\d{1,3}))?\s*A\b' $false</t>
  </si>
  <si>
    <t>|      if ($m.Success -and [int]$m.Groups[1].Value -le 96) {</t>
  </si>
  <si>
    <t>|        $v = $m.Groups[2].Value; if ($m.Groups[3].Success) { $v = $m.Groups[3].Value }</t>
  </si>
  <si>
    <t>|        $d['LEISTUNG'] = Num $v; break</t>
  </si>
  <si>
    <t>|      $m = M1 $l '\bOUT\S*\D{0,12}?(\d{1,3})\s*A\b'</t>
  </si>
  <si>
    <t>|      if ($m.Success) { $d['LEISTUNG'] = $m.Groups[1].Value; break }</t>
  </si>
  <si>
    <t>|    foreach ($l in $lines) { if ($l -match '^\s*(\d{2,3})\s*A\s*$' -and [int]$Matches[1] -ge 20) { $d['LEISTUNG'] = $Matches[1]; break } }</t>
  </si>
  <si>
    <t>|  if ($d.Contains('LEISTUNG')) { $d['EINHEIT'] = 'A' }</t>
  </si>
  <si>
    <t>|  # ---- Schutzklasse ----</t>
  </si>
  <si>
    <t>|  return (Merge-Results $d ([ordered]@{}))</t>
  </si>
  <si>
    <t>|function Merge-Results($dA, $dB) {</t>
  </si>
  <si>
    <t>|  # Variante mit mehr Treffern zuerst, fehlende Werte aus der anderen ergaenzen</t>
  </si>
  <si>
    <t>|  $p = $dA; $s = $dB</t>
  </si>
  <si>
    <t>|  if ($dB.Count -gt $dA.Count) { $p = $dB; $s = $dA }</t>
  </si>
  <si>
    <t>|  $m = [ordered]@{}</t>
  </si>
  <si>
    <t>|  foreach ($k in 'HERSTELLER','TYP','FABRNR','BAUJAHR','SCHUTZKLASSE','LEISTUNG','EINHEIT','SPANNUNG','STROM') {</t>
  </si>
  <si>
    <t>|    if ($p.Contains($k)) { $m[$k] = $p[$k] } elseif ($s.Contains($k)) { $m[$k] = $s[$k] }</t>
  </si>
  <si>
    <t>|  return $m</t>
  </si>
  <si>
    <t>|function Run-One([string]$path) {</t>
  </si>
  <si>
    <t>|  Log ("bild " + (Split-Path $path -Leaf))</t>
  </si>
  <si>
    <t>|  $r = Read-Plate $path</t>
  </si>
  <si>
    <t>|  return @{ R = $r; Res = $res }</t>
  </si>
  <si>
    <t>|    $x = Run-One $_.FullName</t>
  </si>
  <si>
    <t>|  $x = Run-One $Image</t>
  </si>
  <si>
    <t>|  $sb = New-Object System.Text.StringBuilder</t>
  </si>
  <si>
    <t>|  [void]$sb.AppendLine((Format-Result $x.Res))</t>
  </si>
  <si>
    <t>|  # Foto in die beste Richtung drehen</t>
  </si>
  <si>
    <t>|  $srcR = New-Object System.Drawing.Bitmap $src</t>
  </si>
  <si>
    <t>|  $src.Dispose()</t>
  </si>
  <si>
    <t>|  switch ($bestRot) { 90 { $srcR.RotateFlip('Rotate90FlipNone') } 180 { $srcR.RotateFlip('Rotate180FlipNone') } 270 { $srcR.RotateFlip('Rotate270FlipNone') } }</t>
  </si>
  <si>
    <t>|  $a = Scale-Bitmap $srcR 2000 $false</t>
  </si>
  <si>
    <t>|  $fa = [double]$srcR.Width / $a.Width</t>
  </si>
  <si>
    <t>|  $b = Scale-Bitmap $srcR 2500 $true</t>
  </si>
  <si>
    <t>|  $resB = Ocr-Bitmap $b; $b.Dispose()</t>
  </si>
  <si>
    <t>|  # dritte/vierte Variante: nur der Bereich mit Text (das Schild), stark vergroessert</t>
  </si>
  <si>
    <t>|  $resC = $null; $resC2 = $null</t>
  </si>
  <si>
    <t>|  $xs = New-Object System.Collections.ArrayList; $ys = New-Object System.Collections.ArrayList</t>
  </si>
  <si>
    <t>|  foreach ($ln in $bestRes.Lines) { foreach ($w in $ln.Words) { $r = $w.BoundingRect; [void]$xs.Add($r.X); [void]$xs.Add($r.X + $r.Width); [void]$ys.Add($r.Y); [void]$ys.Add($r.Y + $r.Height) } }</t>
  </si>
  <si>
    <t>|  if ($xs.Count -ge 6) {</t>
  </si>
  <si>
    <t>|    $x0 = ($xs | Measure-Object -Minimum).Minimum; $x1 = ($xs | Measure-Object -Maximum).Maximum</t>
  </si>
  <si>
    <t>|    $y0 = ($ys | Measure-Object -Minimum).Minimum; $y1 = ($ys | Measure-Object -Maximum).Maximum</t>
  </si>
  <si>
    <t>|    $pad = 0.08 * [Math]::Max($x1 - $x0, $y1 - $y0)</t>
  </si>
  <si>
    <t>|    $cx0 = [int][Math]::Max(0, ($x0 - $pad) * $fa); $cy0 = [int][Math]::Max(0, ($y0 - $pad) * $fa)</t>
  </si>
  <si>
    <t>|    $cx1 = [int][Math]::Min($srcR.Width, ($x1 + $pad) * $fa); $cy1 = [int][Math]::Min($srcR.Height, ($y1 + $pad) * $fa)</t>
  </si>
  <si>
    <t>|    $cw = $cx1 - $cx0; $chh = $cy1 - $cy0</t>
  </si>
  <si>
    <t>|    if ($cw -gt 50 -and $chh -gt 50 -and ($cw * $chh) -lt (0.85 * $srcR.Width * $srcR.Height)) {</t>
  </si>
  <si>
    <t>|      $crop = $srcR.Clone((New-Object System.Drawing.Rectangle $cx0, $cy0, $cw, $chh), [System.Drawing.Imaging.PixelFormat]::Format24bppRgb)</t>
  </si>
  <si>
    <t>|      $c = Scale-Bitmap $crop 2600 $true; $resC = Ocr-Bitmap $c; $c.Dispose()</t>
  </si>
  <si>
    <t>|      $c2 = Scale-Bitmap $crop 2600 $false; $resC2 = Ocr-Bitmap $c2; $c2.Dispose()</t>
  </si>
  <si>
    <t>|      $crop.Dispose()</t>
  </si>
  <si>
    <t>|      Log ("  Ausschnitt " + $cw + "x" + $chh + " von " + $srcR.Width + "x" + $srcR.Height)</t>
  </si>
  <si>
    <t>|  $srcR.Dispose()</t>
  </si>
  <si>
    <t>|  $rowsC = @(); $rowsC2 = @(); $linesC = @()</t>
  </si>
  <si>
    <t>|  if ($resC) { $rowsC = Build-Rows $resC; $rowsC2 = Build-Rows $resC2; $linesC = @($resC.Lines | ForEach-Object { $_.Text }) + @($resC2.Lines | ForEach-Object { $_.Text }) }</t>
  </si>
  <si>
    <t>|  return @{ Rot = $bestRot; Scores = ($scores -join ' '); A = (@($rowsA) + @($linesA)); B = (@($rowsB) + @($linesB)); RowsA = $rowsA; RowsB = $rowsB; RowsC = $rowsC; RowsC2 = $rowsC2; LinesC = $linesC</t>
  </si>
  <si>
    <t>|           All = (@($rowsA) + @($rowsB) + @($rowsC) + @($rowsC2) + @($linesA) + @($linesB) + @($linesC)) }</t>
  </si>
  <si>
    <t>|  $res = Parse-Plate $r.All</t>
  </si>
  <si>
    <t>|    $part = "=== " + $_.Name + " | rot " + $x.R.Rot + " | " + $x.R.Scores + "`r`n" + (Format-Result $x.Res) + "`r`n#ROWS`r`n" + (($x.R.RowsA) -join "`r`n") + "`r`n#ROWSB`r`n" + (($x.R.RowsB) -join "`r`n") + "`r`n#ROWSC`r`n" + (($x.R.RowsC) -join "`r`n") + "`r`n"</t>
  </si>
  <si>
    <t>Fabr. Nr.</t>
  </si>
  <si>
    <t>Hersteller</t>
  </si>
  <si>
    <t>Typenbezeichnung</t>
  </si>
  <si>
    <t>Baujahr</t>
  </si>
  <si>
    <t>Schutzklasse</t>
  </si>
  <si>
    <t>Nennleistung</t>
  </si>
  <si>
    <t>Einheit</t>
  </si>
  <si>
    <t>Nennspannung (V)</t>
  </si>
  <si>
    <t>Nennstrom (A)</t>
  </si>
  <si>
    <t>Geräteart</t>
  </si>
  <si>
    <t>Prüflingsnr.</t>
  </si>
  <si>
    <t>Zuletzt gespeichert</t>
  </si>
  <si>
    <t>|    $m = M1 $l '(?:Date|DAT|Datum|Baujahr|Bj|Year|Fab)\.?\s*[:.]?\s*(?:\d{1,2}\s*[./-]\s*)?(?:\d{1,2}\s*[./-]\s*)((?:19|20)?\d{2})(?![\d''\u2019`])'</t>
  </si>
  <si>
    <t>|  foreach ($l in (@($x.R.RowsA) + @('') + @($x.R.RowsC) + @('') + @($x.R.RowsB))) { [void]$sb.AppendLine($l)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</si>
</sst>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"/>
    <numFmt numFmtId="165" formatCode="dd\.mm\.yyyy"/>
    <numFmt numFmtId="166" formatCode="mmm\-yy"/>
  </numFmts>
  <fonts count="50" x14ac:knownFonts="1">
    <font>
      <sz val="10"/>
      <name val="Arial"/>
    </font>
    <font>
      <b/>
      <i/>
      <sz val="2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sz val="8"/>
      <name val="Arial"/>
      <family val="2"/>
    </font>
    <font>
      <b/>
      <i/>
      <sz val="16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u/>
      <sz val="10"/>
      <name val="Arial"/>
      <family val="2"/>
    </font>
    <font>
      <b/>
      <sz val="21"/>
      <name val="Berlin Sans FB Demi"/>
      <family val="2"/>
    </font>
    <font>
      <b/>
      <sz val="20"/>
      <color indexed="9"/>
      <name val="Arial"/>
      <family val="2"/>
    </font>
    <font>
      <b/>
      <sz val="10"/>
      <color indexed="63"/>
      <name val="Arial"/>
      <family val="2"/>
    </font>
    <font>
      <b/>
      <sz val="20"/>
      <name val="Arial"/>
      <family val="2"/>
    </font>
    <font>
      <b/>
      <i/>
      <sz val="20"/>
      <color indexed="9"/>
      <name val="Arial"/>
      <family val="2"/>
    </font>
    <font>
      <sz val="10"/>
      <color indexed="63"/>
      <name val="Arial"/>
      <family val="2"/>
    </font>
    <font>
      <b/>
      <i/>
      <sz val="12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10"/>
      <name val="Arial Rounded MT Bold"/>
      <family val="2"/>
    </font>
    <font>
      <b/>
      <sz val="8"/>
      <name val="Arial"/>
      <family val="2"/>
    </font>
    <font>
      <sz val="8"/>
      <color indexed="63"/>
      <name val="Arial"/>
      <family val="2"/>
    </font>
    <font>
      <b/>
      <i/>
      <sz val="10"/>
      <name val="Arial"/>
      <family val="2"/>
    </font>
    <font>
      <sz val="11"/>
      <color indexed="8"/>
      <name val="Arial"/>
      <family val="2"/>
      <charset val="1"/>
    </font>
    <font>
      <b/>
      <sz val="13"/>
      <color indexed="8"/>
      <name val="Arial"/>
      <family val="2"/>
      <charset val="1"/>
    </font>
    <font>
      <sz val="13"/>
      <color indexed="8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8"/>
      <color indexed="55"/>
      <name val="Arial"/>
      <family val="2"/>
      <charset val="1"/>
    </font>
    <font>
      <b/>
      <sz val="8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8"/>
      <color indexed="8"/>
      <name val="Aptos"/>
      <family val="2"/>
      <charset val="1"/>
    </font>
    <font>
      <sz val="9"/>
      <color indexed="55"/>
      <name val="Arial"/>
      <family val="2"/>
      <charset val="1"/>
    </font>
    <font>
      <sz val="8"/>
      <color indexed="8"/>
      <name val="Arial"/>
      <family val="2"/>
      <charset val="1"/>
    </font>
    <font>
      <sz val="8"/>
      <color indexed="8"/>
      <name val="Aptos"/>
      <family val="2"/>
      <charset val="1"/>
    </font>
    <font>
      <b/>
      <sz val="10"/>
      <color indexed="8"/>
      <name val="Arial"/>
      <family val="2"/>
      <charset val="1"/>
    </font>
    <font>
      <b/>
      <u/>
      <sz val="8"/>
      <color indexed="8"/>
      <name val="Arial"/>
      <family val="2"/>
      <charset val="1"/>
    </font>
    <font>
      <i/>
      <sz val="8"/>
      <color indexed="8"/>
      <name val="Arial"/>
      <family val="2"/>
      <charset val="1"/>
    </font>
    <font>
      <i/>
      <sz val="11"/>
      <color indexed="8"/>
      <name val="Arial"/>
      <family val="2"/>
      <charset val="1"/>
    </font>
    <font>
      <b/>
      <i/>
      <sz val="8.5"/>
      <color indexed="8"/>
      <name val="Arial"/>
      <family val="2"/>
      <charset val="1"/>
    </font>
    <font>
      <b/>
      <i/>
      <sz val="9"/>
      <color indexed="8"/>
      <name val="Arial"/>
      <family val="2"/>
      <charset val="1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55"/>
      </patternFill>
    </fill>
    <fill>
      <patternFill patternType="solid">
        <fgColor indexed="31"/>
        <bgColor indexed="27"/>
      </patternFill>
    </fill>
    <fill>
      <patternFill patternType="solid">
        <fgColor indexed="26"/>
        <bgColor indexed="27"/>
      </patternFill>
    </fill>
    <fill>
      <patternFill patternType="solid">
        <fgColor indexed="27"/>
        <bgColor indexed="26"/>
      </patternFill>
    </fill>
  </fills>
  <borders count="7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 style="medium">
        <color indexed="63"/>
      </top>
      <bottom/>
      <diagonal/>
    </border>
    <border>
      <left/>
      <right/>
      <top style="medium">
        <color indexed="63"/>
      </top>
      <bottom/>
      <diagonal/>
    </border>
    <border>
      <left/>
      <right style="medium">
        <color indexed="63"/>
      </right>
      <top style="medium">
        <color indexed="63"/>
      </top>
      <bottom/>
      <diagonal/>
    </border>
    <border>
      <left style="medium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/>
      <right/>
      <top/>
      <bottom style="hair">
        <color indexed="63"/>
      </bottom>
      <diagonal/>
    </border>
    <border>
      <left/>
      <right/>
      <top style="hair">
        <color indexed="63"/>
      </top>
      <bottom style="hair">
        <color indexed="63"/>
      </bottom>
      <diagonal/>
    </border>
    <border>
      <left/>
      <right style="medium">
        <color indexed="63"/>
      </right>
      <top/>
      <bottom style="hair">
        <color indexed="63"/>
      </bottom>
      <diagonal/>
    </border>
    <border>
      <left/>
      <right style="medium">
        <color indexed="63"/>
      </right>
      <top style="hair">
        <color indexed="63"/>
      </top>
      <bottom/>
      <diagonal/>
    </border>
    <border>
      <left/>
      <right style="medium">
        <color indexed="63"/>
      </right>
      <top/>
      <bottom style="hair">
        <color indexed="8"/>
      </bottom>
      <diagonal/>
    </border>
    <border>
      <left/>
      <right style="medium">
        <color indexed="63"/>
      </right>
      <top style="hair">
        <color indexed="8"/>
      </top>
      <bottom style="hair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medium">
        <color indexed="63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3"/>
      </right>
      <top style="thin">
        <color indexed="8"/>
      </top>
      <bottom style="thin">
        <color indexed="8"/>
      </bottom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 style="thin">
        <color indexed="8"/>
      </top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/>
      <right style="medium">
        <color indexed="63"/>
      </right>
      <top style="thin">
        <color indexed="8"/>
      </top>
      <bottom style="medium">
        <color indexed="63"/>
      </bottom>
      <diagonal/>
    </border>
    <border>
      <left/>
      <right/>
      <top style="medium">
        <color indexed="63"/>
      </top>
      <bottom style="hair">
        <color indexed="63"/>
      </bottom>
      <diagonal/>
    </border>
    <border>
      <left/>
      <right style="medium">
        <color indexed="63"/>
      </right>
      <top style="medium">
        <color indexed="63"/>
      </top>
      <bottom style="hair">
        <color indexed="63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9" fontId="47" fillId="0" borderId="0" applyFill="0" applyBorder="0" applyAlignment="0" applyProtection="0"/>
    <xf numFmtId="0" fontId="20" fillId="0" borderId="0" applyNumberFormat="0" applyFill="0" applyBorder="0" applyAlignment="0" applyProtection="0"/>
  </cellStyleXfs>
  <cellXfs count="28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0" borderId="0" xfId="0" applyFont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2" fillId="0" borderId="0" xfId="0" applyFont="1"/>
    <xf numFmtId="164" fontId="2" fillId="0" borderId="0" xfId="0" applyNumberFormat="1" applyFont="1" applyAlignment="1">
      <alignment horizontal="right"/>
    </xf>
    <xf numFmtId="0" fontId="4" fillId="0" borderId="1" xfId="0" applyFont="1" applyBorder="1"/>
    <xf numFmtId="0" fontId="0" fillId="0" borderId="2" xfId="0" applyBorder="1"/>
    <xf numFmtId="0" fontId="6" fillId="0" borderId="0" xfId="0" applyFont="1" applyAlignment="1">
      <alignment horizontal="left"/>
    </xf>
    <xf numFmtId="0" fontId="0" fillId="0" borderId="0" xfId="0" applyAlignment="1">
      <alignment horizontal="right"/>
    </xf>
    <xf numFmtId="164" fontId="0" fillId="0" borderId="1" xfId="0" applyNumberFormat="1" applyBorder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/>
    <xf numFmtId="0" fontId="2" fillId="0" borderId="4" xfId="0" applyFont="1" applyBorder="1"/>
    <xf numFmtId="0" fontId="5" fillId="0" borderId="0" xfId="0" applyFont="1" applyAlignment="1">
      <alignment horizontal="center"/>
    </xf>
    <xf numFmtId="0" fontId="9" fillId="0" borderId="1" xfId="0" applyFont="1" applyBorder="1"/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10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2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2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2" borderId="0" xfId="0" applyFont="1" applyFill="1" applyAlignment="1">
      <alignment vertical="center"/>
    </xf>
    <xf numFmtId="0" fontId="1" fillId="0" borderId="12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7" fillId="0" borderId="0" xfId="0" applyFont="1" applyAlignment="1">
      <alignment horizontal="left"/>
    </xf>
    <xf numFmtId="0" fontId="17" fillId="0" borderId="12" xfId="0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164" fontId="14" fillId="0" borderId="15" xfId="0" applyNumberFormat="1" applyFont="1" applyBorder="1" applyAlignment="1">
      <alignment horizontal="left"/>
    </xf>
    <xf numFmtId="164" fontId="14" fillId="0" borderId="16" xfId="0" applyNumberFormat="1" applyFont="1" applyBorder="1" applyAlignment="1">
      <alignment horizontal="left"/>
    </xf>
    <xf numFmtId="164" fontId="14" fillId="0" borderId="12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9" fillId="2" borderId="19" xfId="0" applyFont="1" applyFill="1" applyBorder="1" applyAlignment="1">
      <alignment horizontal="center"/>
    </xf>
    <xf numFmtId="0" fontId="21" fillId="0" borderId="0" xfId="0" applyFont="1"/>
    <xf numFmtId="0" fontId="9" fillId="0" borderId="0" xfId="0" applyFont="1"/>
    <xf numFmtId="0" fontId="5" fillId="0" borderId="0" xfId="0" applyFont="1" applyAlignment="1">
      <alignment horizontal="left"/>
    </xf>
    <xf numFmtId="0" fontId="0" fillId="0" borderId="12" xfId="0" applyBorder="1"/>
    <xf numFmtId="0" fontId="3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7" fillId="0" borderId="0" xfId="0" applyFont="1"/>
    <xf numFmtId="0" fontId="17" fillId="0" borderId="0" xfId="0" applyFont="1"/>
    <xf numFmtId="0" fontId="0" fillId="0" borderId="24" xfId="0" applyBorder="1"/>
    <xf numFmtId="0" fontId="0" fillId="0" borderId="26" xfId="0" applyBorder="1"/>
    <xf numFmtId="0" fontId="25" fillId="2" borderId="25" xfId="0" applyFont="1" applyFill="1" applyBorder="1"/>
    <xf numFmtId="0" fontId="25" fillId="2" borderId="25" xfId="0" applyFont="1" applyFill="1" applyBorder="1" applyAlignment="1">
      <alignment horizontal="left"/>
    </xf>
    <xf numFmtId="0" fontId="17" fillId="2" borderId="27" xfId="0" applyFont="1" applyFill="1" applyBorder="1"/>
    <xf numFmtId="0" fontId="17" fillId="0" borderId="9" xfId="0" applyFont="1" applyBorder="1" applyAlignment="1">
      <alignment horizontal="left"/>
    </xf>
    <xf numFmtId="164" fontId="17" fillId="0" borderId="29" xfId="0" applyNumberFormat="1" applyFont="1" applyBorder="1" applyAlignment="1">
      <alignment horizontal="left"/>
    </xf>
    <xf numFmtId="0" fontId="14" fillId="0" borderId="0" xfId="0" applyFont="1" applyAlignment="1">
      <alignment horizontal="right"/>
    </xf>
    <xf numFmtId="0" fontId="26" fillId="0" borderId="0" xfId="0" applyFont="1" applyAlignment="1">
      <alignment horizontal="left"/>
    </xf>
    <xf numFmtId="164" fontId="0" fillId="0" borderId="1" xfId="0" applyNumberFormat="1" applyBorder="1"/>
    <xf numFmtId="0" fontId="0" fillId="0" borderId="6" xfId="0" applyBorder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/>
    <xf numFmtId="0" fontId="29" fillId="3" borderId="30" xfId="0" applyFont="1" applyFill="1" applyBorder="1" applyAlignment="1">
      <alignment horizontal="left" vertical="center"/>
    </xf>
    <xf numFmtId="0" fontId="30" fillId="3" borderId="31" xfId="0" applyFont="1" applyFill="1" applyBorder="1"/>
    <xf numFmtId="0" fontId="29" fillId="3" borderId="31" xfId="0" applyFont="1" applyFill="1" applyBorder="1" applyAlignment="1">
      <alignment horizontal="left" vertical="center"/>
    </xf>
    <xf numFmtId="0" fontId="29" fillId="3" borderId="32" xfId="0" applyFont="1" applyFill="1" applyBorder="1" applyAlignment="1">
      <alignment horizontal="left" vertical="center"/>
    </xf>
    <xf numFmtId="0" fontId="30" fillId="0" borderId="0" xfId="0" applyFont="1"/>
    <xf numFmtId="0" fontId="30" fillId="3" borderId="33" xfId="0" applyFont="1" applyFill="1" applyBorder="1"/>
    <xf numFmtId="0" fontId="31" fillId="0" borderId="34" xfId="0" applyFont="1" applyBorder="1"/>
    <xf numFmtId="0" fontId="32" fillId="0" borderId="3" xfId="0" applyFont="1" applyBorder="1"/>
    <xf numFmtId="0" fontId="33" fillId="0" borderId="3" xfId="0" applyFont="1" applyBorder="1" applyAlignment="1">
      <alignment vertical="center"/>
    </xf>
    <xf numFmtId="0" fontId="33" fillId="0" borderId="35" xfId="0" applyFont="1" applyBorder="1" applyAlignment="1">
      <alignment vertical="center"/>
    </xf>
    <xf numFmtId="0" fontId="31" fillId="0" borderId="36" xfId="0" applyFont="1" applyBorder="1"/>
    <xf numFmtId="0" fontId="28" fillId="0" borderId="35" xfId="0" applyFont="1" applyBorder="1"/>
    <xf numFmtId="0" fontId="28" fillId="0" borderId="3" xfId="0" applyFont="1" applyBorder="1"/>
    <xf numFmtId="0" fontId="34" fillId="0" borderId="3" xfId="0" applyFont="1" applyBorder="1"/>
    <xf numFmtId="0" fontId="31" fillId="0" borderId="0" xfId="0" applyFont="1"/>
    <xf numFmtId="0" fontId="28" fillId="0" borderId="40" xfId="0" applyFont="1" applyBorder="1"/>
    <xf numFmtId="0" fontId="28" fillId="0" borderId="43" xfId="0" applyFont="1" applyBorder="1"/>
    <xf numFmtId="0" fontId="35" fillId="5" borderId="44" xfId="0" applyFont="1" applyFill="1" applyBorder="1" applyAlignment="1">
      <alignment vertical="center"/>
    </xf>
    <xf numFmtId="0" fontId="36" fillId="5" borderId="45" xfId="0" applyFont="1" applyFill="1" applyBorder="1"/>
    <xf numFmtId="0" fontId="37" fillId="5" borderId="45" xfId="0" applyFont="1" applyFill="1" applyBorder="1" applyAlignment="1">
      <alignment vertical="center"/>
    </xf>
    <xf numFmtId="0" fontId="35" fillId="5" borderId="47" xfId="0" applyFont="1" applyFill="1" applyBorder="1"/>
    <xf numFmtId="0" fontId="36" fillId="5" borderId="0" xfId="0" applyFont="1" applyFill="1"/>
    <xf numFmtId="0" fontId="37" fillId="5" borderId="0" xfId="0" applyFont="1" applyFill="1"/>
    <xf numFmtId="0" fontId="39" fillId="5" borderId="47" xfId="0" applyFont="1" applyFill="1" applyBorder="1"/>
    <xf numFmtId="0" fontId="40" fillId="5" borderId="0" xfId="0" applyFont="1" applyFill="1"/>
    <xf numFmtId="0" fontId="39" fillId="5" borderId="48" xfId="0" applyFont="1" applyFill="1" applyBorder="1"/>
    <xf numFmtId="0" fontId="36" fillId="5" borderId="49" xfId="0" applyFont="1" applyFill="1" applyBorder="1"/>
    <xf numFmtId="0" fontId="40" fillId="5" borderId="49" xfId="0" applyFont="1" applyFill="1" applyBorder="1"/>
    <xf numFmtId="0" fontId="28" fillId="0" borderId="1" xfId="0" applyFont="1" applyBorder="1"/>
    <xf numFmtId="0" fontId="28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5" fillId="0" borderId="3" xfId="0" applyFont="1" applyBorder="1" applyAlignment="1">
      <alignment horizontal="right" vertical="center"/>
    </xf>
    <xf numFmtId="0" fontId="0" fillId="4" borderId="50" xfId="0" applyFill="1" applyBorder="1"/>
    <xf numFmtId="0" fontId="0" fillId="4" borderId="51" xfId="0" applyFill="1" applyBorder="1"/>
    <xf numFmtId="0" fontId="0" fillId="4" borderId="46" xfId="0" applyFill="1" applyBorder="1"/>
    <xf numFmtId="0" fontId="35" fillId="0" borderId="3" xfId="0" applyFont="1" applyBorder="1" applyAlignment="1">
      <alignment horizontal="center" vertical="center"/>
    </xf>
    <xf numFmtId="0" fontId="41" fillId="0" borderId="4" xfId="0" applyFont="1" applyBorder="1" applyAlignment="1">
      <alignment horizontal="center" vertical="center"/>
    </xf>
    <xf numFmtId="0" fontId="35" fillId="0" borderId="4" xfId="0" applyFont="1" applyBorder="1" applyAlignment="1">
      <alignment horizontal="right" vertical="center"/>
    </xf>
    <xf numFmtId="0" fontId="28" fillId="4" borderId="50" xfId="0" applyFont="1" applyFill="1" applyBorder="1" applyAlignment="1">
      <alignment vertical="center"/>
    </xf>
    <xf numFmtId="0" fontId="28" fillId="4" borderId="51" xfId="0" applyFont="1" applyFill="1" applyBorder="1" applyAlignment="1">
      <alignment vertical="center"/>
    </xf>
    <xf numFmtId="0" fontId="28" fillId="4" borderId="46" xfId="0" applyFont="1" applyFill="1" applyBorder="1" applyAlignment="1">
      <alignment vertical="center"/>
    </xf>
    <xf numFmtId="0" fontId="28" fillId="0" borderId="4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32" fillId="0" borderId="52" xfId="0" applyFont="1" applyBorder="1" applyAlignment="1">
      <alignment horizontal="left" vertical="center"/>
    </xf>
    <xf numFmtId="0" fontId="32" fillId="0" borderId="1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4" borderId="50" xfId="0" applyFont="1" applyFill="1" applyBorder="1" applyAlignment="1">
      <alignment horizontal="center" vertical="center"/>
    </xf>
    <xf numFmtId="0" fontId="32" fillId="0" borderId="1" xfId="0" applyFont="1" applyBorder="1"/>
    <xf numFmtId="0" fontId="31" fillId="4" borderId="46" xfId="0" applyFont="1" applyFill="1" applyBorder="1" applyAlignment="1">
      <alignment horizontal="center" vertical="center"/>
    </xf>
    <xf numFmtId="0" fontId="32" fillId="0" borderId="4" xfId="0" applyFont="1" applyBorder="1"/>
    <xf numFmtId="0" fontId="32" fillId="0" borderId="37" xfId="0" applyFont="1" applyBorder="1" applyAlignment="1">
      <alignment horizontal="center" vertical="center"/>
    </xf>
    <xf numFmtId="0" fontId="32" fillId="0" borderId="0" xfId="0" applyFont="1"/>
    <xf numFmtId="0" fontId="32" fillId="0" borderId="34" xfId="0" applyFont="1" applyBorder="1"/>
    <xf numFmtId="0" fontId="32" fillId="0" borderId="0" xfId="0" applyFont="1" applyAlignment="1">
      <alignment horizontal="center" vertical="center"/>
    </xf>
    <xf numFmtId="0" fontId="32" fillId="0" borderId="40" xfId="0" applyFont="1" applyBorder="1"/>
    <xf numFmtId="0" fontId="31" fillId="0" borderId="47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28" fillId="0" borderId="54" xfId="0" applyFont="1" applyBorder="1"/>
    <xf numFmtId="0" fontId="28" fillId="0" borderId="55" xfId="0" applyFont="1" applyBorder="1"/>
    <xf numFmtId="0" fontId="39" fillId="0" borderId="0" xfId="0" applyFont="1" applyAlignment="1">
      <alignment vertical="center"/>
    </xf>
    <xf numFmtId="0" fontId="39" fillId="0" borderId="0" xfId="0" applyFont="1"/>
    <xf numFmtId="0" fontId="39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8" fillId="0" borderId="36" xfId="0" applyFont="1" applyBorder="1"/>
    <xf numFmtId="0" fontId="28" fillId="0" borderId="56" xfId="0" applyFont="1" applyBorder="1"/>
    <xf numFmtId="0" fontId="28" fillId="0" borderId="47" xfId="0" applyFont="1" applyBorder="1"/>
    <xf numFmtId="0" fontId="28" fillId="0" borderId="0" xfId="0" applyFont="1" applyAlignment="1">
      <alignment vertical="center"/>
    </xf>
    <xf numFmtId="0" fontId="28" fillId="0" borderId="43" xfId="0" applyFont="1" applyBorder="1" applyAlignment="1">
      <alignment vertical="center"/>
    </xf>
    <xf numFmtId="0" fontId="28" fillId="0" borderId="1" xfId="0" applyFont="1" applyBorder="1" applyAlignment="1">
      <alignment vertical="center"/>
    </xf>
    <xf numFmtId="0" fontId="28" fillId="0" borderId="39" xfId="0" applyFont="1" applyBorder="1" applyAlignment="1">
      <alignment vertical="center"/>
    </xf>
    <xf numFmtId="0" fontId="28" fillId="0" borderId="57" xfId="0" applyFont="1" applyBorder="1"/>
    <xf numFmtId="0" fontId="43" fillId="0" borderId="0" xfId="0" applyFont="1"/>
    <xf numFmtId="0" fontId="44" fillId="0" borderId="0" xfId="0" applyFont="1"/>
    <xf numFmtId="0" fontId="28" fillId="0" borderId="48" xfId="0" applyFont="1" applyBorder="1"/>
    <xf numFmtId="0" fontId="28" fillId="0" borderId="49" xfId="0" applyFont="1" applyBorder="1"/>
    <xf numFmtId="0" fontId="28" fillId="0" borderId="58" xfId="0" applyFont="1" applyBorder="1"/>
    <xf numFmtId="0" fontId="28" fillId="0" borderId="59" xfId="0" applyFont="1" applyBorder="1"/>
    <xf numFmtId="0" fontId="39" fillId="3" borderId="62" xfId="0" applyFont="1" applyFill="1" applyBorder="1"/>
    <xf numFmtId="0" fontId="39" fillId="3" borderId="45" xfId="0" applyFont="1" applyFill="1" applyBorder="1"/>
    <xf numFmtId="0" fontId="39" fillId="3" borderId="63" xfId="0" applyFont="1" applyFill="1" applyBorder="1"/>
    <xf numFmtId="0" fontId="39" fillId="3" borderId="64" xfId="0" applyFont="1" applyFill="1" applyBorder="1"/>
    <xf numFmtId="0" fontId="39" fillId="3" borderId="65" xfId="0" applyFont="1" applyFill="1" applyBorder="1"/>
    <xf numFmtId="0" fontId="39" fillId="3" borderId="43" xfId="0" applyFont="1" applyFill="1" applyBorder="1"/>
    <xf numFmtId="0" fontId="39" fillId="3" borderId="0" xfId="0" applyFont="1" applyFill="1"/>
    <xf numFmtId="0" fontId="39" fillId="3" borderId="57" xfId="0" applyFont="1" applyFill="1" applyBorder="1"/>
    <xf numFmtId="0" fontId="39" fillId="3" borderId="42" xfId="0" applyFont="1" applyFill="1" applyBorder="1"/>
    <xf numFmtId="0" fontId="39" fillId="3" borderId="40" xfId="0" applyFont="1" applyFill="1" applyBorder="1"/>
    <xf numFmtId="0" fontId="39" fillId="3" borderId="66" xfId="0" applyFont="1" applyFill="1" applyBorder="1"/>
    <xf numFmtId="0" fontId="39" fillId="3" borderId="49" xfId="0" applyFont="1" applyFill="1" applyBorder="1"/>
    <xf numFmtId="0" fontId="39" fillId="3" borderId="58" xfId="0" applyFont="1" applyFill="1" applyBorder="1"/>
    <xf numFmtId="0" fontId="39" fillId="3" borderId="67" xfId="0" applyFont="1" applyFill="1" applyBorder="1"/>
    <xf numFmtId="0" fontId="39" fillId="3" borderId="59" xfId="0" applyFont="1" applyFill="1" applyBorder="1"/>
    <xf numFmtId="0" fontId="39" fillId="3" borderId="1" xfId="0" applyFont="1" applyFill="1" applyBorder="1"/>
    <xf numFmtId="0" fontId="39" fillId="3" borderId="55" xfId="0" applyFont="1" applyFill="1" applyBorder="1"/>
    <xf numFmtId="0" fontId="32" fillId="0" borderId="49" xfId="0" applyFont="1" applyBorder="1"/>
    <xf numFmtId="0" fontId="32" fillId="0" borderId="0" xfId="0" applyFont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32" fillId="0" borderId="70" xfId="0" applyFont="1" applyBorder="1" applyAlignment="1">
      <alignment vertical="center"/>
    </xf>
    <xf numFmtId="0" fontId="32" fillId="0" borderId="72" xfId="0" applyFont="1" applyBorder="1" applyAlignment="1">
      <alignment horizontal="left" vertical="center"/>
    </xf>
    <xf numFmtId="0" fontId="32" fillId="0" borderId="6" xfId="0" applyFont="1" applyBorder="1" applyAlignment="1">
      <alignment vertical="center"/>
    </xf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47" xfId="0" applyFont="1" applyBorder="1"/>
    <xf numFmtId="0" fontId="32" fillId="0" borderId="48" xfId="0" applyFont="1" applyBorder="1"/>
    <xf numFmtId="0" fontId="45" fillId="0" borderId="49" xfId="0" applyFont="1" applyBorder="1"/>
    <xf numFmtId="0" fontId="31" fillId="4" borderId="50" xfId="0" applyFont="1" applyFill="1" applyBorder="1"/>
    <xf numFmtId="0" fontId="32" fillId="0" borderId="59" xfId="0" applyFont="1" applyBorder="1"/>
    <xf numFmtId="0" fontId="32" fillId="0" borderId="44" xfId="0" applyFont="1" applyBorder="1"/>
    <xf numFmtId="0" fontId="46" fillId="0" borderId="45" xfId="0" applyFont="1" applyBorder="1"/>
    <xf numFmtId="0" fontId="32" fillId="0" borderId="45" xfId="0" applyFont="1" applyBorder="1"/>
    <xf numFmtId="0" fontId="32" fillId="0" borderId="63" xfId="0" applyFont="1" applyBorder="1"/>
    <xf numFmtId="0" fontId="28" fillId="0" borderId="45" xfId="0" applyFont="1" applyBorder="1"/>
    <xf numFmtId="0" fontId="32" fillId="0" borderId="65" xfId="0" applyFont="1" applyBorder="1"/>
    <xf numFmtId="0" fontId="32" fillId="0" borderId="57" xfId="0" applyFont="1" applyBorder="1"/>
    <xf numFmtId="0" fontId="28" fillId="3" borderId="0" xfId="0" applyFont="1" applyFill="1"/>
    <xf numFmtId="0" fontId="32" fillId="3" borderId="0" xfId="0" applyFont="1" applyFill="1"/>
    <xf numFmtId="0" fontId="28" fillId="3" borderId="1" xfId="0" applyFont="1" applyFill="1" applyBorder="1"/>
    <xf numFmtId="0" fontId="32" fillId="3" borderId="1" xfId="0" applyFont="1" applyFill="1" applyBorder="1"/>
    <xf numFmtId="0" fontId="35" fillId="0" borderId="0" xfId="0" applyFont="1"/>
    <xf numFmtId="0" fontId="35" fillId="0" borderId="49" xfId="0" applyFont="1" applyBorder="1"/>
    <xf numFmtId="0" fontId="0" fillId="0" borderId="0" xfId="0" quotePrefix="1"/>
    <xf numFmtId="49" fontId="9" fillId="0" borderId="0" xfId="0" applyNumberFormat="1" applyFont="1"/>
    <xf numFmtId="49" fontId="0" fillId="0" borderId="0" xfId="0" applyNumberFormat="1"/>
    <xf numFmtId="0" fontId="31" fillId="4" borderId="46" xfId="0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0" fontId="0" fillId="0" borderId="4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5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right"/>
    </xf>
    <xf numFmtId="0" fontId="3" fillId="0" borderId="13" xfId="0" applyFont="1" applyBorder="1" applyAlignment="1">
      <alignment horizontal="center"/>
    </xf>
    <xf numFmtId="164" fontId="19" fillId="0" borderId="0" xfId="0" applyNumberFormat="1" applyFont="1" applyAlignment="1">
      <alignment horizontal="right"/>
    </xf>
    <xf numFmtId="9" fontId="18" fillId="0" borderId="0" xfId="1" applyFont="1" applyFill="1" applyBorder="1" applyAlignment="1" applyProtection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/>
    </xf>
    <xf numFmtId="49" fontId="3" fillId="0" borderId="20" xfId="0" applyNumberFormat="1" applyFont="1" applyBorder="1" applyAlignment="1">
      <alignment horizontal="center"/>
    </xf>
    <xf numFmtId="49" fontId="3" fillId="0" borderId="21" xfId="0" applyNumberFormat="1" applyFont="1" applyBorder="1" applyAlignment="1">
      <alignment horizontal="center"/>
    </xf>
    <xf numFmtId="0" fontId="20" fillId="0" borderId="13" xfId="2" applyNumberFormat="1" applyFill="1" applyBorder="1" applyAlignment="1" applyProtection="1">
      <alignment horizontal="center"/>
    </xf>
    <xf numFmtId="164" fontId="14" fillId="0" borderId="17" xfId="0" applyNumberFormat="1" applyFont="1" applyBorder="1" applyAlignment="1">
      <alignment horizontal="left"/>
    </xf>
    <xf numFmtId="0" fontId="5" fillId="0" borderId="13" xfId="0" applyFont="1" applyBorder="1" applyAlignment="1">
      <alignment horizontal="center"/>
    </xf>
    <xf numFmtId="164" fontId="14" fillId="0" borderId="18" xfId="0" applyNumberFormat="1" applyFont="1" applyBorder="1" applyAlignment="1">
      <alignment horizontal="left"/>
    </xf>
    <xf numFmtId="0" fontId="19" fillId="0" borderId="0" xfId="0" applyFont="1" applyAlignment="1">
      <alignment horizontal="right"/>
    </xf>
    <xf numFmtId="0" fontId="3" fillId="0" borderId="1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24" fillId="2" borderId="22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 wrapText="1"/>
    </xf>
    <xf numFmtId="0" fontId="17" fillId="0" borderId="17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19" fillId="0" borderId="6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164" fontId="14" fillId="0" borderId="9" xfId="0" applyNumberFormat="1" applyFont="1" applyBorder="1" applyAlignment="1">
      <alignment horizontal="right"/>
    </xf>
    <xf numFmtId="0" fontId="17" fillId="0" borderId="28" xfId="0" applyFont="1" applyBorder="1" applyAlignment="1">
      <alignment horizontal="left"/>
    </xf>
    <xf numFmtId="0" fontId="14" fillId="2" borderId="9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17" fillId="0" borderId="20" xfId="0" applyFont="1" applyBorder="1" applyAlignment="1">
      <alignment horizontal="left"/>
    </xf>
    <xf numFmtId="0" fontId="9" fillId="2" borderId="22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 wrapText="1"/>
    </xf>
    <xf numFmtId="164" fontId="14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0" fontId="28" fillId="0" borderId="37" xfId="0" applyFont="1" applyBorder="1" applyAlignment="1">
      <alignment horizontal="center"/>
    </xf>
    <xf numFmtId="0" fontId="32" fillId="4" borderId="38" xfId="0" applyFont="1" applyFill="1" applyBorder="1" applyAlignment="1">
      <alignment horizontal="center"/>
    </xf>
    <xf numFmtId="0" fontId="32" fillId="4" borderId="5" xfId="0" applyFont="1" applyFill="1" applyBorder="1" applyAlignment="1">
      <alignment horizontal="center"/>
    </xf>
    <xf numFmtId="165" fontId="32" fillId="4" borderId="39" xfId="0" applyNumberFormat="1" applyFont="1" applyFill="1" applyBorder="1" applyAlignment="1">
      <alignment horizontal="center"/>
    </xf>
    <xf numFmtId="0" fontId="32" fillId="4" borderId="41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/>
    </xf>
    <xf numFmtId="0" fontId="38" fillId="5" borderId="46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 vertical="center"/>
    </xf>
    <xf numFmtId="0" fontId="32" fillId="4" borderId="53" xfId="0" applyFont="1" applyFill="1" applyBorder="1" applyAlignment="1">
      <alignment horizontal="center" vertical="center"/>
    </xf>
    <xf numFmtId="0" fontId="32" fillId="4" borderId="2" xfId="0" quotePrefix="1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28" fillId="4" borderId="50" xfId="0" quotePrefix="1" applyFont="1" applyFill="1" applyBorder="1" applyAlignment="1">
      <alignment horizontal="center" vertical="center" shrinkToFit="1"/>
    </xf>
    <xf numFmtId="0" fontId="28" fillId="4" borderId="51" xfId="0" applyFont="1" applyFill="1" applyBorder="1" applyAlignment="1">
      <alignment horizontal="center" vertical="center" shrinkToFit="1"/>
    </xf>
    <xf numFmtId="0" fontId="28" fillId="4" borderId="46" xfId="0" applyFont="1" applyFill="1" applyBorder="1" applyAlignment="1">
      <alignment horizontal="center" vertical="center" shrinkToFit="1"/>
    </xf>
    <xf numFmtId="49" fontId="32" fillId="4" borderId="2" xfId="0" quotePrefix="1" applyNumberFormat="1" applyFont="1" applyFill="1" applyBorder="1" applyAlignment="1">
      <alignment horizontal="center" vertical="center"/>
    </xf>
    <xf numFmtId="1" fontId="32" fillId="4" borderId="2" xfId="0" applyNumberFormat="1" applyFont="1" applyFill="1" applyBorder="1" applyAlignment="1">
      <alignment horizontal="center" vertical="center"/>
    </xf>
    <xf numFmtId="0" fontId="39" fillId="3" borderId="60" xfId="0" applyFont="1" applyFill="1" applyBorder="1" applyAlignment="1">
      <alignment horizontal="left" vertical="top"/>
    </xf>
    <xf numFmtId="0" fontId="39" fillId="3" borderId="61" xfId="0" applyFont="1" applyFill="1" applyBorder="1" applyAlignment="1">
      <alignment horizontal="left" vertical="top" wrapText="1"/>
    </xf>
    <xf numFmtId="2" fontId="39" fillId="0" borderId="68" xfId="0" applyNumberFormat="1" applyFont="1" applyBorder="1" applyAlignment="1">
      <alignment horizontal="center"/>
    </xf>
    <xf numFmtId="2" fontId="39" fillId="0" borderId="67" xfId="0" applyNumberFormat="1" applyFont="1" applyBorder="1" applyAlignment="1">
      <alignment horizontal="center"/>
    </xf>
    <xf numFmtId="2" fontId="39" fillId="0" borderId="69" xfId="0" applyNumberFormat="1" applyFont="1" applyBorder="1" applyAlignment="1">
      <alignment horizontal="center"/>
    </xf>
    <xf numFmtId="0" fontId="32" fillId="0" borderId="70" xfId="0" applyFont="1" applyBorder="1" applyAlignment="1">
      <alignment horizontal="center" vertical="center"/>
    </xf>
    <xf numFmtId="0" fontId="32" fillId="4" borderId="70" xfId="0" applyFont="1" applyFill="1" applyBorder="1" applyAlignment="1">
      <alignment horizontal="center" vertical="center"/>
    </xf>
    <xf numFmtId="166" fontId="32" fillId="4" borderId="71" xfId="0" applyNumberFormat="1" applyFont="1" applyFill="1" applyBorder="1" applyAlignment="1">
      <alignment horizontal="center" vertical="center"/>
    </xf>
    <xf numFmtId="165" fontId="32" fillId="4" borderId="46" xfId="0" applyNumberFormat="1" applyFont="1" applyFill="1" applyBorder="1" applyAlignment="1">
      <alignment horizontal="center"/>
    </xf>
    <xf numFmtId="0" fontId="32" fillId="0" borderId="6" xfId="0" applyFont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6" fontId="32" fillId="4" borderId="73" xfId="0" applyNumberFormat="1" applyFont="1" applyFill="1" applyBorder="1" applyAlignment="1">
      <alignment horizontal="center" vertical="center"/>
    </xf>
    <xf numFmtId="0" fontId="32" fillId="0" borderId="6" xfId="0" applyFont="1" applyBorder="1" applyAlignment="1">
      <alignment horizontal="center"/>
    </xf>
    <xf numFmtId="0" fontId="32" fillId="4" borderId="6" xfId="0" applyFont="1" applyFill="1" applyBorder="1" applyAlignment="1">
      <alignment horizontal="center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2F2F2"/>
      <rgbColor rgb="00E7E6E6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FABA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/>
</file>

<file path=xl/ctrlProps/ctrlProp3.xml><?xml version="1.0" encoding="utf-8"?>
<formControlPr xmlns="http://schemas.microsoft.com/office/spreadsheetml/2009/9/main" objectType="CheckBox"/>
</file>

<file path=xl/ctrlProps/ctrlProp4.xml><?xml version="1.0" encoding="utf-8"?>
<formControlPr xmlns="http://schemas.microsoft.com/office/spreadsheetml/2009/9/main" objectType="CheckBox"/>
</file>

<file path=xl/ctrlProps/ctrlProp5.xml><?xml version="1.0" encoding="utf-8"?>
<formControlPr xmlns="http://schemas.microsoft.com/office/spreadsheetml/2009/9/main" objectType="CheckBox" checked="Checked"/>
</file>

<file path=xl/ctrlProps/ctrlProp6.xml><?xml version="1.0" encoding="utf-8"?>
<formControlPr xmlns="http://schemas.microsoft.com/office/spreadsheetml/2009/9/main" objectType="CheckBox"/>
</file>

<file path=xl/ctrlProps/ctrlProp7.xml><?xml version="1.0" encoding="utf-8"?>
<formControlPr xmlns="http://schemas.microsoft.com/office/spreadsheetml/2009/9/main" objectType="CheckBox"/>
</file>

<file path=xl/ctrlProps/ctrlProp8.xml><?xml version="1.0" encoding="utf-8"?>
<formControlPr xmlns="http://schemas.microsoft.com/office/spreadsheetml/2009/9/main" objectType="CheckBox"/>
</file>

<file path=xl/ctrlProps/ctrlProp9.xml><?xml version="1.0" encoding="utf-8"?>
<formControlPr xmlns="http://schemas.microsoft.com/office/spreadsheetml/2009/9/main" objectType="CheckBox" checked="Checked"/>
</file>

<file path=xl/ctrlProps/ctrlProp10.xml><?xml version="1.0" encoding="utf-8"?>
<formControlPr xmlns="http://schemas.microsoft.com/office/spreadsheetml/2009/9/main" objectType="CheckBox" checked="Checked"/>
</file>

<file path=xl/ctrlProps/ctrlProp11.xml><?xml version="1.0" encoding="utf-8"?>
<formControlPr xmlns="http://schemas.microsoft.com/office/spreadsheetml/2009/9/main" objectType="CheckBox" checked="Checked"/>
</file>

<file path=xl/ctrlProps/ctrlProp12.xml><?xml version="1.0" encoding="utf-8"?>
<formControlPr xmlns="http://schemas.microsoft.com/office/spreadsheetml/2009/9/main" objectType="CheckBox" checked="Checked"/>
</file>

<file path=xl/ctrlProps/ctrlProp13.xml><?xml version="1.0" encoding="utf-8"?>
<formControlPr xmlns="http://schemas.microsoft.com/office/spreadsheetml/2009/9/main" objectType="CheckBox" checked="Checked"/>
</file>

<file path=xl/ctrlProps/ctrlProp14.xml><?xml version="1.0" encoding="utf-8"?>
<formControlPr xmlns="http://schemas.microsoft.com/office/spreadsheetml/2009/9/main" objectType="CheckBox" checked="Checked"/>
</file>

<file path=xl/ctrlProps/ctrlProp15.xml><?xml version="1.0" encoding="utf-8"?>
<formControlPr xmlns="http://schemas.microsoft.com/office/spreadsheetml/2009/9/main" objectType="CheckBox" checked="Checked"/>
</file>

<file path=xl/ctrlProps/ctrlProp16.xml><?xml version="1.0" encoding="utf-8"?>
<formControlPr xmlns="http://schemas.microsoft.com/office/spreadsheetml/2009/9/main" objectType="CheckBox" checked="Checked"/>
</file>

<file path=xl/ctrlProps/ctrlProp17.xml><?xml version="1.0" encoding="utf-8"?>
<formControlPr xmlns="http://schemas.microsoft.com/office/spreadsheetml/2009/9/main" objectType="CheckBox" checked="Checked"/>
</file>

<file path=xl/ctrlProps/ctrlProp18.xml><?xml version="1.0" encoding="utf-8"?>
<formControlPr xmlns="http://schemas.microsoft.com/office/spreadsheetml/2009/9/main" objectType="CheckBox" checked="Checked"/>
</file>

<file path=xl/ctrlProps/ctrlProp19.xml><?xml version="1.0" encoding="utf-8"?>
<formControlPr xmlns="http://schemas.microsoft.com/office/spreadsheetml/2009/9/main" objectType="CheckBox" checked="Checked"/>
</file>

<file path=xl/ctrlProps/ctrlProp20.xml><?xml version="1.0" encoding="utf-8"?>
<formControlPr xmlns="http://schemas.microsoft.com/office/spreadsheetml/2009/9/main" objectType="CheckBox" checked="Checked"/>
</file>

<file path=xl/ctrlProps/ctrlProp21.xml><?xml version="1.0" encoding="utf-8"?>
<formControlPr xmlns="http://schemas.microsoft.com/office/spreadsheetml/2009/9/main" objectType="CheckBox" checked="Checked"/>
</file>

<file path=xl/ctrlProps/ctrlProp22.xml><?xml version="1.0" encoding="utf-8"?>
<formControlPr xmlns="http://schemas.microsoft.com/office/spreadsheetml/2009/9/main" objectType="CheckBox" checked="Checked"/>
</file>

<file path=xl/ctrlProps/ctrlProp23.xml><?xml version="1.0" encoding="utf-8"?>
<formControlPr xmlns="http://schemas.microsoft.com/office/spreadsheetml/2009/9/main" objectType="CheckBox"/>
</file>

<file path=xl/ctrlProps/ctrlProp24.xml><?xml version="1.0" encoding="utf-8"?>
<formControlPr xmlns="http://schemas.microsoft.com/office/spreadsheetml/2009/9/main" objectType="CheckBox"/>
</file>

<file path=xl/ctrlProps/ctrlProp25.xml><?xml version="1.0" encoding="utf-8"?>
<formControlPr xmlns="http://schemas.microsoft.com/office/spreadsheetml/2009/9/main" objectType="CheckBox"/>
</file>

<file path=xl/ctrlProps/ctrlProp26.xml><?xml version="1.0" encoding="utf-8"?>
<formControlPr xmlns="http://schemas.microsoft.com/office/spreadsheetml/2009/9/main" objectType="CheckBox"/>
</file>

<file path=xl/ctrlProps/ctrlProp27.xml><?xml version="1.0" encoding="utf-8"?>
<formControlPr xmlns="http://schemas.microsoft.com/office/spreadsheetml/2009/9/main" objectType="CheckBox"/>
</file>

<file path=xl/ctrlProps/ctrlProp28.xml><?xml version="1.0" encoding="utf-8"?>
<formControlPr xmlns="http://schemas.microsoft.com/office/spreadsheetml/2009/9/main" objectType="CheckBox" checked="Checked"/>
</file>

<file path=xl/ctrlProps/ctrlProp29.xml><?xml version="1.0" encoding="utf-8"?>
<formControlPr xmlns="http://schemas.microsoft.com/office/spreadsheetml/2009/9/main" objectType="CheckBox" checked="Checked"/>
</file>

<file path=xl/ctrlProps/ctrlProp30.xml><?xml version="1.0" encoding="utf-8"?>
<formControlPr xmlns="http://schemas.microsoft.com/office/spreadsheetml/2009/9/main" objectType="CheckBox"/>
</file>

<file path=xl/ctrlProps/ctrlProp31.xml><?xml version="1.0" encoding="utf-8"?>
<formControlPr xmlns="http://schemas.microsoft.com/office/spreadsheetml/2009/9/main" objectType="CheckBox" checked="Checked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</xdr:colOff>
      <xdr:row>2</xdr:row>
      <xdr:rowOff>38100</xdr:rowOff>
    </xdr:from>
    <xdr:to>
      <xdr:col>17</xdr:col>
      <xdr:colOff>708660</xdr:colOff>
      <xdr:row>4</xdr:row>
      <xdr:rowOff>60960</xdr:rowOff>
    </xdr:to>
    <xdr:pic>
      <xdr:nvPicPr>
        <xdr:cNvPr id="5121" name="Grafik 1">
          <a:extLst>
            <a:ext uri="{FF2B5EF4-FFF2-40B4-BE49-F238E27FC236}">
              <a16:creationId xmlns:a16="http://schemas.microsoft.com/office/drawing/2014/main" id="{1FC1E267-F8FD-A175-7FD2-E17EE1A806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449580"/>
          <a:ext cx="1821180" cy="39624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121920</xdr:colOff>
          <xdr:row>46</xdr:row>
          <xdr:rowOff>0</xdr:rowOff>
        </xdr:from>
        <xdr:to>
          <xdr:col>22</xdr:col>
          <xdr:colOff>22860</xdr:colOff>
          <xdr:row>47</xdr:row>
          <xdr:rowOff>243840</xdr:rowOff>
        </xdr:to>
        <xdr:sp macro="" textlink="">
          <xdr:nvSpPr>
            <xdr:cNvPr id="1025" name="btnErsatztei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Ersatzteile einfügen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182880</xdr:colOff>
      <xdr:row>4</xdr:row>
      <xdr:rowOff>15240</xdr:rowOff>
    </xdr:from>
    <xdr:to>
      <xdr:col>27</xdr:col>
      <xdr:colOff>106680</xdr:colOff>
      <xdr:row>8</xdr:row>
      <xdr:rowOff>91440</xdr:rowOff>
    </xdr:to>
    <xdr:pic>
      <xdr:nvPicPr>
        <xdr:cNvPr id="8193" name="Grafik 2">
          <a:extLst>
            <a:ext uri="{FF2B5EF4-FFF2-40B4-BE49-F238E27FC236}">
              <a16:creationId xmlns:a16="http://schemas.microsoft.com/office/drawing/2014/main" id="{397B9E12-FF14-94F1-FDA2-21267420C8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7260" y="853440"/>
          <a:ext cx="1821180" cy="86868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14</xdr:col>
      <xdr:colOff>129540</xdr:colOff>
      <xdr:row>4</xdr:row>
      <xdr:rowOff>60960</xdr:rowOff>
    </xdr:from>
    <xdr:to>
      <xdr:col>18</xdr:col>
      <xdr:colOff>68580</xdr:colOff>
      <xdr:row>8</xdr:row>
      <xdr:rowOff>30480</xdr:rowOff>
    </xdr:to>
    <xdr:pic>
      <xdr:nvPicPr>
        <xdr:cNvPr id="8194" name="Grafik 3">
          <a:extLst>
            <a:ext uri="{FF2B5EF4-FFF2-40B4-BE49-F238E27FC236}">
              <a16:creationId xmlns:a16="http://schemas.microsoft.com/office/drawing/2014/main" id="{126CE5BB-3F48-FF68-2812-332799D013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8080" y="899160"/>
          <a:ext cx="94488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14</xdr:row>
          <xdr:rowOff>30480</xdr:rowOff>
        </xdr:from>
        <xdr:to>
          <xdr:col>12</xdr:col>
          <xdr:colOff>198120</xdr:colOff>
          <xdr:row>15</xdr:row>
          <xdr:rowOff>38100</xdr:rowOff>
        </xdr:to>
        <xdr:sp macro="" textlink="">
          <xdr:nvSpPr>
            <xdr:cNvPr id="8196" name="Check Box 1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14</xdr:row>
          <xdr:rowOff>30480</xdr:rowOff>
        </xdr:from>
        <xdr:to>
          <xdr:col>19</xdr:col>
          <xdr:colOff>198120</xdr:colOff>
          <xdr:row>15</xdr:row>
          <xdr:rowOff>38100</xdr:rowOff>
        </xdr:to>
        <xdr:sp macro="" textlink="">
          <xdr:nvSpPr>
            <xdr:cNvPr id="8197" name="Check Box 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17</xdr:row>
          <xdr:rowOff>30480</xdr:rowOff>
        </xdr:from>
        <xdr:to>
          <xdr:col>1</xdr:col>
          <xdr:colOff>198120</xdr:colOff>
          <xdr:row>18</xdr:row>
          <xdr:rowOff>38100</xdr:rowOff>
        </xdr:to>
        <xdr:sp macro="" textlink="">
          <xdr:nvSpPr>
            <xdr:cNvPr id="8198" name="Check Box 5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30480</xdr:colOff>
          <xdr:row>17</xdr:row>
          <xdr:rowOff>30480</xdr:rowOff>
        </xdr:from>
        <xdr:to>
          <xdr:col>5</xdr:col>
          <xdr:colOff>198120</xdr:colOff>
          <xdr:row>18</xdr:row>
          <xdr:rowOff>38100</xdr:rowOff>
        </xdr:to>
        <xdr:sp macro="" textlink="">
          <xdr:nvSpPr>
            <xdr:cNvPr id="8199" name="Check Box 6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30480</xdr:colOff>
          <xdr:row>17</xdr:row>
          <xdr:rowOff>30480</xdr:rowOff>
        </xdr:from>
        <xdr:to>
          <xdr:col>12</xdr:col>
          <xdr:colOff>198120</xdr:colOff>
          <xdr:row>18</xdr:row>
          <xdr:rowOff>38100</xdr:rowOff>
        </xdr:to>
        <xdr:sp macro="" textlink="">
          <xdr:nvSpPr>
            <xdr:cNvPr id="8200" name="Check Box 7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</xdr:colOff>
          <xdr:row>17</xdr:row>
          <xdr:rowOff>30480</xdr:rowOff>
        </xdr:from>
        <xdr:to>
          <xdr:col>18</xdr:col>
          <xdr:colOff>198120</xdr:colOff>
          <xdr:row>18</xdr:row>
          <xdr:rowOff>38100</xdr:rowOff>
        </xdr:to>
        <xdr:sp macro="" textlink="">
          <xdr:nvSpPr>
            <xdr:cNvPr id="8201" name="Check Box 8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30480</xdr:colOff>
          <xdr:row>17</xdr:row>
          <xdr:rowOff>30480</xdr:rowOff>
        </xdr:from>
        <xdr:to>
          <xdr:col>23</xdr:col>
          <xdr:colOff>198120</xdr:colOff>
          <xdr:row>18</xdr:row>
          <xdr:rowOff>38100</xdr:rowOff>
        </xdr:to>
        <xdr:sp macro="" textlink="">
          <xdr:nvSpPr>
            <xdr:cNvPr id="8202" name="Check Box 9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30</xdr:row>
          <xdr:rowOff>30480</xdr:rowOff>
        </xdr:from>
        <xdr:to>
          <xdr:col>1</xdr:col>
          <xdr:colOff>198120</xdr:colOff>
          <xdr:row>31</xdr:row>
          <xdr:rowOff>38100</xdr:rowOff>
        </xdr:to>
        <xdr:sp macro="" textlink="">
          <xdr:nvSpPr>
            <xdr:cNvPr id="8203" name="Check Box 10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7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31</xdr:row>
          <xdr:rowOff>30480</xdr:rowOff>
        </xdr:from>
        <xdr:to>
          <xdr:col>1</xdr:col>
          <xdr:colOff>198120</xdr:colOff>
          <xdr:row>32</xdr:row>
          <xdr:rowOff>38100</xdr:rowOff>
        </xdr:to>
        <xdr:sp macro="" textlink="">
          <xdr:nvSpPr>
            <xdr:cNvPr id="8204" name="Check Box 11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7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32</xdr:row>
          <xdr:rowOff>30480</xdr:rowOff>
        </xdr:from>
        <xdr:to>
          <xdr:col>1</xdr:col>
          <xdr:colOff>198120</xdr:colOff>
          <xdr:row>33</xdr:row>
          <xdr:rowOff>38100</xdr:rowOff>
        </xdr:to>
        <xdr:sp macro="" textlink="">
          <xdr:nvSpPr>
            <xdr:cNvPr id="8205" name="Check Box 12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7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33</xdr:row>
          <xdr:rowOff>30480</xdr:rowOff>
        </xdr:from>
        <xdr:to>
          <xdr:col>1</xdr:col>
          <xdr:colOff>198120</xdr:colOff>
          <xdr:row>34</xdr:row>
          <xdr:rowOff>38100</xdr:rowOff>
        </xdr:to>
        <xdr:sp macro="" textlink="">
          <xdr:nvSpPr>
            <xdr:cNvPr id="8206" name="Check Box 13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7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34</xdr:row>
          <xdr:rowOff>30480</xdr:rowOff>
        </xdr:from>
        <xdr:to>
          <xdr:col>1</xdr:col>
          <xdr:colOff>198120</xdr:colOff>
          <xdr:row>35</xdr:row>
          <xdr:rowOff>38100</xdr:rowOff>
        </xdr:to>
        <xdr:sp macro="" textlink="">
          <xdr:nvSpPr>
            <xdr:cNvPr id="8207" name="Check Box 14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7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35</xdr:row>
          <xdr:rowOff>30480</xdr:rowOff>
        </xdr:from>
        <xdr:to>
          <xdr:col>1</xdr:col>
          <xdr:colOff>198120</xdr:colOff>
          <xdr:row>36</xdr:row>
          <xdr:rowOff>38100</xdr:rowOff>
        </xdr:to>
        <xdr:sp macro="" textlink="">
          <xdr:nvSpPr>
            <xdr:cNvPr id="8208" name="Check Box 15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7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30</xdr:row>
          <xdr:rowOff>30480</xdr:rowOff>
        </xdr:from>
        <xdr:to>
          <xdr:col>13</xdr:col>
          <xdr:colOff>205740</xdr:colOff>
          <xdr:row>31</xdr:row>
          <xdr:rowOff>38100</xdr:rowOff>
        </xdr:to>
        <xdr:sp macro="" textlink="">
          <xdr:nvSpPr>
            <xdr:cNvPr id="8209" name="Check Box 16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7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31</xdr:row>
          <xdr:rowOff>30480</xdr:rowOff>
        </xdr:from>
        <xdr:to>
          <xdr:col>13</xdr:col>
          <xdr:colOff>205740</xdr:colOff>
          <xdr:row>32</xdr:row>
          <xdr:rowOff>38100</xdr:rowOff>
        </xdr:to>
        <xdr:sp macro="" textlink="">
          <xdr:nvSpPr>
            <xdr:cNvPr id="8210" name="Check Box 17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7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32</xdr:row>
          <xdr:rowOff>30480</xdr:rowOff>
        </xdr:from>
        <xdr:to>
          <xdr:col>13</xdr:col>
          <xdr:colOff>205740</xdr:colOff>
          <xdr:row>33</xdr:row>
          <xdr:rowOff>38100</xdr:rowOff>
        </xdr:to>
        <xdr:sp macro="" textlink="">
          <xdr:nvSpPr>
            <xdr:cNvPr id="8211" name="Check Box 18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7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33</xdr:row>
          <xdr:rowOff>30480</xdr:rowOff>
        </xdr:from>
        <xdr:to>
          <xdr:col>13</xdr:col>
          <xdr:colOff>205740</xdr:colOff>
          <xdr:row>34</xdr:row>
          <xdr:rowOff>38100</xdr:rowOff>
        </xdr:to>
        <xdr:sp macro="" textlink="">
          <xdr:nvSpPr>
            <xdr:cNvPr id="8212" name="Check Box 19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7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34</xdr:row>
          <xdr:rowOff>30480</xdr:rowOff>
        </xdr:from>
        <xdr:to>
          <xdr:col>13</xdr:col>
          <xdr:colOff>205740</xdr:colOff>
          <xdr:row>35</xdr:row>
          <xdr:rowOff>38100</xdr:rowOff>
        </xdr:to>
        <xdr:sp macro="" textlink="">
          <xdr:nvSpPr>
            <xdr:cNvPr id="8213" name="Check Box 20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7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43</xdr:row>
          <xdr:rowOff>30480</xdr:rowOff>
        </xdr:from>
        <xdr:to>
          <xdr:col>1</xdr:col>
          <xdr:colOff>198120</xdr:colOff>
          <xdr:row>44</xdr:row>
          <xdr:rowOff>7620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7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44</xdr:row>
          <xdr:rowOff>30480</xdr:rowOff>
        </xdr:from>
        <xdr:to>
          <xdr:col>1</xdr:col>
          <xdr:colOff>198120</xdr:colOff>
          <xdr:row>45</xdr:row>
          <xdr:rowOff>7620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7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45</xdr:row>
          <xdr:rowOff>30480</xdr:rowOff>
        </xdr:from>
        <xdr:to>
          <xdr:col>1</xdr:col>
          <xdr:colOff>198120</xdr:colOff>
          <xdr:row>46</xdr:row>
          <xdr:rowOff>7620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7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46</xdr:row>
          <xdr:rowOff>30480</xdr:rowOff>
        </xdr:from>
        <xdr:to>
          <xdr:col>1</xdr:col>
          <xdr:colOff>198120</xdr:colOff>
          <xdr:row>47</xdr:row>
          <xdr:rowOff>7620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7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30480</xdr:colOff>
          <xdr:row>43</xdr:row>
          <xdr:rowOff>30480</xdr:rowOff>
        </xdr:from>
        <xdr:to>
          <xdr:col>13</xdr:col>
          <xdr:colOff>205740</xdr:colOff>
          <xdr:row>44</xdr:row>
          <xdr:rowOff>7620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7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45</xdr:row>
          <xdr:rowOff>30480</xdr:rowOff>
        </xdr:from>
        <xdr:to>
          <xdr:col>17</xdr:col>
          <xdr:colOff>198120</xdr:colOff>
          <xdr:row>46</xdr:row>
          <xdr:rowOff>7620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7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46</xdr:row>
          <xdr:rowOff>30480</xdr:rowOff>
        </xdr:from>
        <xdr:to>
          <xdr:col>17</xdr:col>
          <xdr:colOff>198120</xdr:colOff>
          <xdr:row>47</xdr:row>
          <xdr:rowOff>7620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7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30480</xdr:colOff>
          <xdr:row>47</xdr:row>
          <xdr:rowOff>30480</xdr:rowOff>
        </xdr:from>
        <xdr:to>
          <xdr:col>17</xdr:col>
          <xdr:colOff>198120</xdr:colOff>
          <xdr:row>48</xdr:row>
          <xdr:rowOff>7620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7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54</xdr:row>
          <xdr:rowOff>30480</xdr:rowOff>
        </xdr:from>
        <xdr:to>
          <xdr:col>1</xdr:col>
          <xdr:colOff>198120</xdr:colOff>
          <xdr:row>55</xdr:row>
          <xdr:rowOff>7620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7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56</xdr:row>
          <xdr:rowOff>30480</xdr:rowOff>
        </xdr:from>
        <xdr:to>
          <xdr:col>1</xdr:col>
          <xdr:colOff>198120</xdr:colOff>
          <xdr:row>57</xdr:row>
          <xdr:rowOff>7620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7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30480</xdr:colOff>
          <xdr:row>58</xdr:row>
          <xdr:rowOff>30480</xdr:rowOff>
        </xdr:from>
        <xdr:to>
          <xdr:col>1</xdr:col>
          <xdr:colOff>198120</xdr:colOff>
          <xdr:row>59</xdr:row>
          <xdr:rowOff>7620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7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30480</xdr:colOff>
          <xdr:row>54</xdr:row>
          <xdr:rowOff>30480</xdr:rowOff>
        </xdr:from>
        <xdr:to>
          <xdr:col>8</xdr:col>
          <xdr:colOff>205740</xdr:colOff>
          <xdr:row>55</xdr:row>
          <xdr:rowOff>7620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7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</xdr:row>
          <xdr:rowOff>0</xdr:rowOff>
        </xdr:from>
        <xdr:to>
          <xdr:col>32</xdr:col>
          <xdr:colOff>83820</xdr:colOff>
          <xdr:row>3</xdr:row>
          <xdr:rowOff>22860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7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Typenschild einlesen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3</xdr:row>
          <xdr:rowOff>144780</xdr:rowOff>
        </xdr:from>
        <xdr:to>
          <xdr:col>32</xdr:col>
          <xdr:colOff>83820</xdr:colOff>
          <xdr:row>6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7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Gerät in Liste speichern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BA46-6445-4AE9-B8B5-7513EBD8E518}">
  <sheetPr codeName="Tabelle1">
    <pageSetUpPr fitToPage="1"/>
  </sheetPr>
  <dimension ref="A1:J39"/>
  <sheetViews>
    <sheetView topLeftCell="A19" workbookViewId="0">
      <selection activeCell="B3" sqref="B3"/>
    </sheetView>
  </sheetViews>
  <sheetFormatPr baseColWidth="10" defaultColWidth="11" defaultRowHeight="13.2" x14ac:dyDescent="0.25"/>
  <cols>
    <col min="1" max="1" width="19" customWidth="1"/>
    <col min="2" max="3" width="22.33203125" customWidth="1"/>
    <col min="4" max="4" width="6.109375" customWidth="1"/>
    <col min="5" max="5" width="4.6640625" customWidth="1"/>
  </cols>
  <sheetData>
    <row r="1" spans="1:10" ht="24.9" customHeight="1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  <row r="2" spans="1:10" x14ac:dyDescent="0.25">
      <c r="A2" s="3"/>
    </row>
    <row r="3" spans="1:10" ht="15" x14ac:dyDescent="0.25">
      <c r="A3" s="4" t="s">
        <v>1</v>
      </c>
      <c r="B3" s="5"/>
      <c r="C3" s="6"/>
      <c r="G3" t="s">
        <v>2</v>
      </c>
    </row>
    <row r="4" spans="1:10" ht="15" x14ac:dyDescent="0.25">
      <c r="A4" s="7"/>
    </row>
    <row r="5" spans="1:10" ht="15" x14ac:dyDescent="0.25">
      <c r="A5" s="8" t="s">
        <v>3</v>
      </c>
      <c r="B5" s="6"/>
      <c r="C5" s="6"/>
      <c r="G5" s="6"/>
      <c r="H5" s="6"/>
      <c r="I5" s="6"/>
      <c r="J5" s="6"/>
    </row>
    <row r="6" spans="1:10" ht="15" x14ac:dyDescent="0.25">
      <c r="A6" s="8"/>
    </row>
    <row r="7" spans="1:10" ht="15" x14ac:dyDescent="0.25">
      <c r="A7" s="8" t="s">
        <v>4</v>
      </c>
      <c r="B7" s="6"/>
      <c r="C7" s="6"/>
      <c r="G7" s="6"/>
      <c r="H7" s="6"/>
      <c r="I7" s="6"/>
      <c r="J7" s="6"/>
    </row>
    <row r="8" spans="1:10" ht="15" x14ac:dyDescent="0.25">
      <c r="A8" s="7"/>
    </row>
    <row r="9" spans="1:10" ht="15" x14ac:dyDescent="0.25">
      <c r="A9" s="8" t="s">
        <v>5</v>
      </c>
      <c r="B9" s="6"/>
      <c r="C9" s="6"/>
      <c r="G9" s="6"/>
      <c r="H9" s="6"/>
      <c r="I9" s="6"/>
      <c r="J9" s="6"/>
    </row>
    <row r="10" spans="1:10" ht="15" x14ac:dyDescent="0.25">
      <c r="A10" s="4"/>
    </row>
    <row r="11" spans="1:10" ht="15" x14ac:dyDescent="0.25">
      <c r="A11" s="8" t="s">
        <v>6</v>
      </c>
      <c r="B11" s="6"/>
      <c r="C11" s="6"/>
    </row>
    <row r="12" spans="1:10" ht="15" x14ac:dyDescent="0.25">
      <c r="A12" s="4"/>
    </row>
    <row r="13" spans="1:10" ht="15" x14ac:dyDescent="0.25">
      <c r="A13" s="4" t="s">
        <v>7</v>
      </c>
      <c r="B13" s="6"/>
      <c r="C13" s="6"/>
    </row>
    <row r="14" spans="1:10" ht="15" x14ac:dyDescent="0.25">
      <c r="A14" s="4"/>
    </row>
    <row r="15" spans="1:10" ht="15" x14ac:dyDescent="0.25">
      <c r="A15" s="4" t="s">
        <v>8</v>
      </c>
      <c r="B15" s="6"/>
      <c r="C15" s="6"/>
    </row>
    <row r="16" spans="1:10" ht="15" x14ac:dyDescent="0.25">
      <c r="A16" s="7"/>
    </row>
    <row r="17" spans="1:10" ht="15.6" x14ac:dyDescent="0.3">
      <c r="A17" s="9" t="s">
        <v>9</v>
      </c>
    </row>
    <row r="18" spans="1:10" ht="15" x14ac:dyDescent="0.25">
      <c r="A18" s="7"/>
    </row>
    <row r="19" spans="1:10" ht="15" x14ac:dyDescent="0.25">
      <c r="A19" s="7" t="s">
        <v>10</v>
      </c>
      <c r="E19" s="10"/>
    </row>
    <row r="20" spans="1:10" ht="15" x14ac:dyDescent="0.25">
      <c r="A20" s="7"/>
    </row>
    <row r="21" spans="1:10" ht="15" x14ac:dyDescent="0.25">
      <c r="A21" s="7" t="s">
        <v>11</v>
      </c>
      <c r="E21" s="10"/>
    </row>
    <row r="22" spans="1:10" ht="15" x14ac:dyDescent="0.25">
      <c r="A22" s="7"/>
    </row>
    <row r="23" spans="1:10" ht="15" x14ac:dyDescent="0.25">
      <c r="A23" s="7" t="s">
        <v>12</v>
      </c>
      <c r="E23" s="10"/>
    </row>
    <row r="24" spans="1:10" ht="15" x14ac:dyDescent="0.25">
      <c r="A24" s="7"/>
    </row>
    <row r="25" spans="1:10" ht="15" x14ac:dyDescent="0.25">
      <c r="A25" s="7" t="s">
        <v>13</v>
      </c>
      <c r="E25" s="10"/>
    </row>
    <row r="26" spans="1:10" ht="15" x14ac:dyDescent="0.25">
      <c r="A26" s="7"/>
    </row>
    <row r="27" spans="1:10" ht="15" x14ac:dyDescent="0.25">
      <c r="A27" s="7" t="s">
        <v>14</v>
      </c>
      <c r="B27" s="6"/>
      <c r="C27" s="6"/>
      <c r="D27" s="6"/>
      <c r="E27" s="6"/>
      <c r="F27" s="6"/>
      <c r="G27" s="6"/>
      <c r="H27" s="6"/>
      <c r="I27" s="6"/>
      <c r="J27" s="6"/>
    </row>
    <row r="29" spans="1:10" x14ac:dyDescent="0.25">
      <c r="B29" s="6"/>
      <c r="C29" s="6"/>
      <c r="D29" s="6"/>
      <c r="E29" s="6"/>
      <c r="F29" s="6"/>
      <c r="G29" s="6"/>
      <c r="H29" s="6"/>
      <c r="I29" s="6"/>
      <c r="J29" s="6"/>
    </row>
    <row r="32" spans="1:10" ht="15" x14ac:dyDescent="0.25">
      <c r="A32" s="7" t="s">
        <v>15</v>
      </c>
      <c r="B32" s="6"/>
      <c r="C32" s="6"/>
      <c r="D32" s="6"/>
      <c r="E32" s="6"/>
      <c r="F32" s="6"/>
      <c r="G32" s="6"/>
      <c r="H32" s="6"/>
      <c r="I32" s="6"/>
      <c r="J32" s="6"/>
    </row>
    <row r="34" spans="2:10" x14ac:dyDescent="0.25">
      <c r="B34" s="6"/>
      <c r="C34" s="6"/>
      <c r="D34" s="6"/>
      <c r="E34" s="6"/>
      <c r="F34" s="6"/>
      <c r="G34" s="6"/>
      <c r="H34" s="6"/>
      <c r="I34" s="6"/>
      <c r="J34" s="6"/>
    </row>
    <row r="38" spans="2:10" x14ac:dyDescent="0.25">
      <c r="H38" s="6"/>
      <c r="I38" s="6"/>
      <c r="J38" s="6"/>
    </row>
    <row r="39" spans="2:10" x14ac:dyDescent="0.25">
      <c r="H39" s="200" t="s">
        <v>16</v>
      </c>
      <c r="I39" s="200"/>
      <c r="J39" s="200"/>
    </row>
  </sheetData>
  <sheetProtection selectLockedCells="1" selectUnlockedCells="1"/>
  <mergeCells count="1">
    <mergeCell ref="H39:J39"/>
  </mergeCells>
  <pageMargins left="0.39374999999999999" right="0.39374999999999999" top="0.19652777777777777" bottom="0" header="0.51181102362204722" footer="0.51181102362204722"/>
  <pageSetup paperSize="9" firstPageNumber="0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C084C-4F8B-4635-9F50-FD3170368AE2}">
  <sheetPr codeName="Tabelle2">
    <pageSetUpPr fitToPage="1"/>
  </sheetPr>
  <dimension ref="A1:H43"/>
  <sheetViews>
    <sheetView workbookViewId="0">
      <selection activeCell="H6" sqref="H6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6" width="12.6640625" customWidth="1"/>
    <col min="7" max="7" width="11.88671875" customWidth="1"/>
  </cols>
  <sheetData>
    <row r="1" spans="1:8" ht="20.25" customHeight="1" x14ac:dyDescent="0.35">
      <c r="A1" s="11" t="s">
        <v>17</v>
      </c>
      <c r="B1" s="2"/>
      <c r="C1" s="2"/>
      <c r="D1" s="2"/>
      <c r="E1" s="2"/>
      <c r="F1" s="12" t="s">
        <v>18</v>
      </c>
      <c r="G1" s="203">
        <f ca="1">TODAY()</f>
        <v>46313</v>
      </c>
      <c r="H1" s="203"/>
    </row>
    <row r="2" spans="1:8" s="16" customFormat="1" ht="28.95" customHeight="1" x14ac:dyDescent="0.2">
      <c r="A2" s="14" t="s">
        <v>19</v>
      </c>
      <c r="B2" s="15"/>
      <c r="C2" s="15"/>
      <c r="D2" s="15"/>
      <c r="E2" s="15"/>
      <c r="F2" s="15"/>
      <c r="G2" s="15"/>
      <c r="H2" s="15"/>
    </row>
    <row r="3" spans="1:8" ht="20.100000000000001" customHeight="1" x14ac:dyDescent="0.25">
      <c r="A3" s="201" t="s">
        <v>20</v>
      </c>
      <c r="B3" s="201"/>
      <c r="C3" s="204"/>
      <c r="D3" s="204"/>
      <c r="E3" s="204"/>
      <c r="F3" s="204"/>
    </row>
    <row r="4" spans="1:8" ht="20.100000000000001" customHeight="1" x14ac:dyDescent="0.25">
      <c r="A4" s="201" t="s">
        <v>21</v>
      </c>
      <c r="B4" s="201"/>
      <c r="C4" s="202"/>
      <c r="D4" s="202"/>
      <c r="E4" s="202"/>
      <c r="F4" s="202"/>
    </row>
    <row r="5" spans="1:8" ht="20.100000000000001" customHeight="1" x14ac:dyDescent="0.25">
      <c r="A5" s="201" t="s">
        <v>22</v>
      </c>
      <c r="B5" s="201"/>
      <c r="C5" s="202"/>
      <c r="D5" s="202"/>
      <c r="E5" s="202"/>
      <c r="F5" s="202"/>
    </row>
    <row r="6" spans="1:8" ht="20.100000000000001" customHeight="1" x14ac:dyDescent="0.25">
      <c r="A6" s="17"/>
      <c r="B6" s="17"/>
      <c r="C6" s="202"/>
      <c r="D6" s="202"/>
      <c r="E6" s="202"/>
    </row>
    <row r="7" spans="1:8" ht="20.100000000000001" customHeight="1" x14ac:dyDescent="0.25">
      <c r="A7" s="201" t="s">
        <v>23</v>
      </c>
      <c r="B7" s="201"/>
      <c r="C7" s="202"/>
      <c r="D7" s="202"/>
      <c r="E7" s="202"/>
      <c r="F7" s="12" t="s">
        <v>24</v>
      </c>
      <c r="G7" s="6"/>
      <c r="H7" s="6"/>
    </row>
    <row r="8" spans="1:8" ht="20.100000000000001" customHeight="1" x14ac:dyDescent="0.25">
      <c r="A8" s="17"/>
      <c r="B8" s="12"/>
      <c r="F8" s="12" t="s">
        <v>25</v>
      </c>
      <c r="G8" s="6"/>
      <c r="H8" s="6"/>
    </row>
    <row r="9" spans="1:8" ht="20.100000000000001" customHeight="1" x14ac:dyDescent="0.25">
      <c r="A9" s="205" t="s">
        <v>1</v>
      </c>
      <c r="B9" s="205"/>
      <c r="C9" s="5"/>
      <c r="D9" s="6"/>
      <c r="E9" s="6"/>
      <c r="F9" s="6"/>
    </row>
    <row r="10" spans="1:8" ht="20.100000000000001" customHeight="1" x14ac:dyDescent="0.25">
      <c r="A10" s="201" t="s">
        <v>5</v>
      </c>
      <c r="B10" s="201"/>
      <c r="C10" s="202"/>
      <c r="D10" s="202"/>
      <c r="E10" s="202"/>
      <c r="F10" s="202"/>
    </row>
    <row r="11" spans="1:8" ht="20.100000000000001" customHeight="1" x14ac:dyDescent="0.25">
      <c r="A11" s="201" t="s">
        <v>6</v>
      </c>
      <c r="B11" s="201"/>
      <c r="C11" s="202"/>
      <c r="D11" s="202"/>
      <c r="E11" s="202"/>
      <c r="F11" s="202"/>
    </row>
    <row r="12" spans="1:8" ht="20.100000000000001" customHeight="1" x14ac:dyDescent="0.25">
      <c r="A12" s="205" t="s">
        <v>7</v>
      </c>
      <c r="B12" s="205"/>
      <c r="C12" s="202"/>
      <c r="D12" s="202"/>
      <c r="E12" s="202"/>
      <c r="F12" s="202"/>
    </row>
    <row r="13" spans="1:8" ht="20.100000000000001" customHeight="1" x14ac:dyDescent="0.25">
      <c r="A13" s="12"/>
      <c r="B13" s="12" t="s">
        <v>26</v>
      </c>
      <c r="C13" s="202"/>
      <c r="D13" s="202"/>
      <c r="E13" s="202"/>
      <c r="F13" s="202"/>
    </row>
    <row r="14" spans="1:8" ht="20.100000000000001" customHeight="1" x14ac:dyDescent="0.25">
      <c r="A14" s="12"/>
      <c r="B14" s="12" t="s">
        <v>27</v>
      </c>
      <c r="C14" s="202"/>
      <c r="D14" s="202"/>
      <c r="E14" s="202"/>
      <c r="F14" s="202"/>
    </row>
    <row r="15" spans="1:8" ht="20.100000000000001" customHeight="1" x14ac:dyDescent="0.25">
      <c r="A15" s="12"/>
      <c r="B15" s="12" t="s">
        <v>28</v>
      </c>
      <c r="C15" s="202"/>
      <c r="D15" s="202"/>
      <c r="E15" s="202"/>
      <c r="F15" s="202"/>
    </row>
    <row r="16" spans="1:8" ht="20.100000000000001" customHeight="1" x14ac:dyDescent="0.25">
      <c r="A16" s="12"/>
      <c r="B16" s="12" t="s">
        <v>29</v>
      </c>
      <c r="C16" s="202"/>
      <c r="D16" s="202"/>
      <c r="E16" s="202"/>
      <c r="F16" s="202"/>
    </row>
    <row r="17" spans="1:8" ht="20.100000000000001" customHeight="1" x14ac:dyDescent="0.25">
      <c r="A17" s="205" t="s">
        <v>30</v>
      </c>
      <c r="B17" s="205"/>
      <c r="C17" s="202"/>
      <c r="D17" s="202"/>
      <c r="E17" s="202"/>
      <c r="F17" s="202"/>
    </row>
    <row r="18" spans="1:8" ht="20.100000000000001" customHeight="1" x14ac:dyDescent="0.25">
      <c r="A18" s="205" t="s">
        <v>31</v>
      </c>
      <c r="B18" s="205"/>
      <c r="C18" s="202"/>
      <c r="D18" s="202"/>
      <c r="E18" s="202"/>
      <c r="F18" s="202"/>
    </row>
    <row r="19" spans="1:8" ht="20.100000000000001" customHeight="1" x14ac:dyDescent="0.25">
      <c r="A19" s="205" t="s">
        <v>8</v>
      </c>
      <c r="B19" s="205"/>
      <c r="C19" s="202"/>
      <c r="D19" s="202"/>
      <c r="E19" s="202"/>
      <c r="F19" s="202"/>
    </row>
    <row r="20" spans="1:8" ht="20.100000000000001" customHeight="1" x14ac:dyDescent="0.25">
      <c r="A20" s="12"/>
      <c r="B20" s="12"/>
    </row>
    <row r="21" spans="1:8" ht="20.100000000000001" customHeight="1" x14ac:dyDescent="0.25">
      <c r="A21" s="208" t="s">
        <v>32</v>
      </c>
      <c r="B21" s="208"/>
      <c r="C21" s="12" t="s">
        <v>33</v>
      </c>
      <c r="D21" s="10"/>
    </row>
    <row r="22" spans="1:8" ht="20.100000000000001" customHeight="1" x14ac:dyDescent="0.25">
      <c r="A22" s="18"/>
      <c r="C22" s="12" t="s">
        <v>34</v>
      </c>
      <c r="D22" s="10"/>
    </row>
    <row r="23" spans="1:8" ht="20.100000000000001" customHeight="1" x14ac:dyDescent="0.25">
      <c r="A23" s="18"/>
      <c r="C23" s="12" t="s">
        <v>35</v>
      </c>
      <c r="D23" s="10"/>
    </row>
    <row r="24" spans="1:8" ht="20.100000000000001" customHeight="1" x14ac:dyDescent="0.25">
      <c r="A24" s="19"/>
      <c r="B24" s="6"/>
      <c r="C24" s="6"/>
      <c r="D24" s="6"/>
      <c r="E24" s="6"/>
      <c r="F24" s="6"/>
      <c r="G24" s="6"/>
      <c r="H24" s="6"/>
    </row>
    <row r="25" spans="1:8" ht="9.9" customHeight="1" x14ac:dyDescent="0.25">
      <c r="A25" s="19" t="s">
        <v>36</v>
      </c>
      <c r="B25" s="209" t="s">
        <v>37</v>
      </c>
      <c r="C25" s="209"/>
      <c r="D25" s="209"/>
      <c r="E25" s="210" t="s">
        <v>38</v>
      </c>
      <c r="F25" s="210"/>
      <c r="G25" s="210"/>
      <c r="H25" s="210"/>
    </row>
    <row r="26" spans="1:8" ht="20.100000000000001" customHeight="1" x14ac:dyDescent="0.25">
      <c r="A26" s="20"/>
      <c r="B26" s="206"/>
      <c r="C26" s="206"/>
      <c r="D26" s="206"/>
      <c r="E26" s="207"/>
      <c r="F26" s="207"/>
      <c r="G26" s="207"/>
      <c r="H26" s="207"/>
    </row>
    <row r="27" spans="1:8" ht="20.100000000000001" customHeight="1" x14ac:dyDescent="0.25">
      <c r="A27" s="20"/>
      <c r="B27" s="206"/>
      <c r="C27" s="206"/>
      <c r="D27" s="206"/>
      <c r="E27" s="207"/>
      <c r="F27" s="207"/>
      <c r="G27" s="207"/>
      <c r="H27" s="207"/>
    </row>
    <row r="28" spans="1:8" ht="20.100000000000001" customHeight="1" x14ac:dyDescent="0.25">
      <c r="A28" s="20"/>
      <c r="B28" s="206"/>
      <c r="C28" s="206"/>
      <c r="D28" s="206"/>
      <c r="E28" s="207"/>
      <c r="F28" s="207"/>
      <c r="G28" s="207"/>
      <c r="H28" s="207"/>
    </row>
    <row r="29" spans="1:8" ht="20.100000000000001" customHeight="1" x14ac:dyDescent="0.25">
      <c r="A29" s="20"/>
      <c r="B29" s="206"/>
      <c r="C29" s="206"/>
      <c r="D29" s="206"/>
      <c r="E29" s="207"/>
      <c r="F29" s="207"/>
      <c r="G29" s="207"/>
      <c r="H29" s="207"/>
    </row>
    <row r="30" spans="1:8" ht="20.100000000000001" customHeight="1" x14ac:dyDescent="0.25">
      <c r="A30" s="20"/>
      <c r="B30" s="206"/>
      <c r="C30" s="206"/>
      <c r="D30" s="206"/>
      <c r="E30" s="207"/>
      <c r="F30" s="207"/>
      <c r="G30" s="207"/>
      <c r="H30" s="207"/>
    </row>
    <row r="31" spans="1:8" ht="20.100000000000001" customHeight="1" x14ac:dyDescent="0.25">
      <c r="A31" s="20"/>
      <c r="B31" s="206"/>
      <c r="C31" s="206"/>
      <c r="D31" s="206"/>
      <c r="E31" s="207"/>
      <c r="F31" s="207"/>
      <c r="G31" s="207"/>
      <c r="H31" s="207"/>
    </row>
    <row r="32" spans="1:8" ht="20.100000000000001" customHeight="1" x14ac:dyDescent="0.25">
      <c r="A32" s="20"/>
      <c r="B32" s="206"/>
      <c r="C32" s="206"/>
      <c r="D32" s="206"/>
      <c r="E32" s="207"/>
      <c r="F32" s="207"/>
      <c r="G32" s="207"/>
      <c r="H32" s="207"/>
    </row>
    <row r="33" spans="1:8" ht="20.100000000000001" customHeight="1" x14ac:dyDescent="0.25">
      <c r="A33" s="20"/>
      <c r="B33" s="206"/>
      <c r="C33" s="206"/>
      <c r="D33" s="206"/>
      <c r="E33" s="207"/>
      <c r="F33" s="207"/>
      <c r="G33" s="207"/>
      <c r="H33" s="207"/>
    </row>
    <row r="34" spans="1:8" ht="20.100000000000001" customHeight="1" x14ac:dyDescent="0.25">
      <c r="A34" s="20"/>
      <c r="B34" s="206"/>
      <c r="C34" s="206"/>
      <c r="D34" s="206"/>
      <c r="E34" s="207"/>
      <c r="F34" s="207"/>
      <c r="G34" s="207"/>
      <c r="H34" s="207"/>
    </row>
    <row r="35" spans="1:8" ht="20.100000000000001" customHeight="1" x14ac:dyDescent="0.25">
      <c r="A35" s="20"/>
      <c r="B35" s="206"/>
      <c r="C35" s="206"/>
      <c r="D35" s="206"/>
      <c r="E35" s="207"/>
      <c r="F35" s="207"/>
      <c r="G35" s="207"/>
      <c r="H35" s="207"/>
    </row>
    <row r="36" spans="1:8" ht="20.100000000000001" customHeight="1" x14ac:dyDescent="0.25">
      <c r="A36" s="20"/>
      <c r="B36" s="206"/>
      <c r="C36" s="206"/>
      <c r="D36" s="206"/>
      <c r="E36" s="207"/>
      <c r="F36" s="207"/>
      <c r="G36" s="207"/>
      <c r="H36" s="207"/>
    </row>
    <row r="37" spans="1:8" ht="20.100000000000001" customHeight="1" x14ac:dyDescent="0.25">
      <c r="A37" s="20"/>
      <c r="B37" s="206"/>
      <c r="C37" s="206"/>
      <c r="D37" s="206"/>
      <c r="E37" s="207"/>
      <c r="F37" s="207"/>
      <c r="G37" s="207"/>
      <c r="H37" s="207"/>
    </row>
    <row r="38" spans="1:8" ht="20.100000000000001" customHeight="1" x14ac:dyDescent="0.25">
      <c r="A38" s="20"/>
      <c r="B38" s="206"/>
      <c r="C38" s="206"/>
      <c r="D38" s="206"/>
      <c r="E38" s="207"/>
      <c r="F38" s="207"/>
      <c r="G38" s="207"/>
      <c r="H38" s="207"/>
    </row>
    <row r="39" spans="1:8" ht="20.100000000000001" customHeight="1" x14ac:dyDescent="0.25">
      <c r="A39" s="20"/>
      <c r="B39" s="206"/>
      <c r="C39" s="206"/>
      <c r="D39" s="206"/>
      <c r="E39" s="207"/>
      <c r="F39" s="207"/>
      <c r="G39" s="207"/>
      <c r="H39" s="207"/>
    </row>
    <row r="40" spans="1:8" ht="20.100000000000001" customHeight="1" x14ac:dyDescent="0.25">
      <c r="A40" s="20"/>
      <c r="B40" s="206"/>
      <c r="C40" s="206"/>
      <c r="D40" s="206"/>
      <c r="E40" s="207"/>
      <c r="F40" s="207"/>
      <c r="G40" s="207"/>
      <c r="H40" s="207"/>
    </row>
    <row r="41" spans="1:8" ht="20.100000000000001" customHeight="1" x14ac:dyDescent="0.25">
      <c r="A41" s="20"/>
      <c r="B41" s="206"/>
      <c r="C41" s="206"/>
      <c r="D41" s="206"/>
      <c r="E41" s="207"/>
      <c r="F41" s="207"/>
      <c r="G41" s="207"/>
      <c r="H41" s="207"/>
    </row>
    <row r="42" spans="1:8" ht="20.100000000000001" customHeight="1" x14ac:dyDescent="0.25"/>
    <row r="43" spans="1:8" x14ac:dyDescent="0.25">
      <c r="A43" s="211" t="s">
        <v>39</v>
      </c>
      <c r="B43" s="211"/>
      <c r="C43" s="211"/>
      <c r="F43" s="211" t="s">
        <v>40</v>
      </c>
      <c r="G43" s="211"/>
      <c r="H43" s="211"/>
    </row>
  </sheetData>
  <sheetProtection selectLockedCells="1" selectUnlockedCells="1"/>
  <mergeCells count="64">
    <mergeCell ref="A43:C43"/>
    <mergeCell ref="F43:H43"/>
    <mergeCell ref="B39:D39"/>
    <mergeCell ref="E39:H39"/>
    <mergeCell ref="B40:D40"/>
    <mergeCell ref="E40:H40"/>
    <mergeCell ref="B41:D41"/>
    <mergeCell ref="E41:H41"/>
    <mergeCell ref="B36:D36"/>
    <mergeCell ref="E36:H36"/>
    <mergeCell ref="B37:D37"/>
    <mergeCell ref="E37:H37"/>
    <mergeCell ref="B38:D38"/>
    <mergeCell ref="E38:H38"/>
    <mergeCell ref="B33:D33"/>
    <mergeCell ref="E33:H33"/>
    <mergeCell ref="B34:D34"/>
    <mergeCell ref="E34:H34"/>
    <mergeCell ref="B35:D35"/>
    <mergeCell ref="E35:H35"/>
    <mergeCell ref="B30:D30"/>
    <mergeCell ref="E30:H30"/>
    <mergeCell ref="B31:D31"/>
    <mergeCell ref="E31:H31"/>
    <mergeCell ref="B32:D32"/>
    <mergeCell ref="E32:H32"/>
    <mergeCell ref="B27:D27"/>
    <mergeCell ref="E27:H27"/>
    <mergeCell ref="B28:D28"/>
    <mergeCell ref="E28:H28"/>
    <mergeCell ref="B29:D29"/>
    <mergeCell ref="E29:H29"/>
    <mergeCell ref="B26:D26"/>
    <mergeCell ref="E26:H26"/>
    <mergeCell ref="C15:F15"/>
    <mergeCell ref="C16:F16"/>
    <mergeCell ref="A17:B17"/>
    <mergeCell ref="C17:F17"/>
    <mergeCell ref="A18:B18"/>
    <mergeCell ref="C18:F18"/>
    <mergeCell ref="A19:B19"/>
    <mergeCell ref="C19:F19"/>
    <mergeCell ref="A21:B21"/>
    <mergeCell ref="B25:D25"/>
    <mergeCell ref="E25:H25"/>
    <mergeCell ref="C14:F14"/>
    <mergeCell ref="C6:E6"/>
    <mergeCell ref="A7:B7"/>
    <mergeCell ref="C7:E7"/>
    <mergeCell ref="A9:B9"/>
    <mergeCell ref="A10:B10"/>
    <mergeCell ref="C10:F10"/>
    <mergeCell ref="A11:B11"/>
    <mergeCell ref="C11:F11"/>
    <mergeCell ref="A12:B12"/>
    <mergeCell ref="C12:F12"/>
    <mergeCell ref="C13:F13"/>
    <mergeCell ref="A5:B5"/>
    <mergeCell ref="C5:F5"/>
    <mergeCell ref="G1:H1"/>
    <mergeCell ref="A3:B3"/>
    <mergeCell ref="C3:F3"/>
    <mergeCell ref="A4:B4"/>
    <mergeCell ref="C4:F4"/>
  </mergeCells>
  <pageMargins left="0.39374999999999999" right="0.19652777777777777" top="0.1701388888888889" bottom="0" header="0.51181102362204722" footer="0.51181102362204722"/>
  <pageSetup paperSize="9" scale="99"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7973-6B60-4CBB-A614-CC5EF97061E3}">
  <sheetPr codeName="Tabelle3">
    <pageSetUpPr fitToPage="1"/>
  </sheetPr>
  <dimension ref="A1:L32"/>
  <sheetViews>
    <sheetView topLeftCell="A19" workbookViewId="0">
      <selection activeCell="F38" sqref="F38"/>
    </sheetView>
  </sheetViews>
  <sheetFormatPr baseColWidth="10" defaultColWidth="11" defaultRowHeight="13.2" x14ac:dyDescent="0.25"/>
  <cols>
    <col min="1" max="1" width="7.6640625" customWidth="1"/>
    <col min="2" max="2" width="14.6640625" customWidth="1"/>
    <col min="3" max="3" width="12.6640625" customWidth="1"/>
    <col min="4" max="4" width="6.109375" customWidth="1"/>
    <col min="5" max="5" width="12.5546875" customWidth="1"/>
    <col min="6" max="6" width="26.5546875" customWidth="1"/>
    <col min="7" max="7" width="11.88671875" hidden="1" customWidth="1"/>
    <col min="8" max="8" width="11.5546875" hidden="1" customWidth="1"/>
    <col min="9" max="9" width="8.88671875" customWidth="1"/>
    <col min="10" max="10" width="0.6640625" customWidth="1"/>
    <col min="11" max="11" width="10.88671875" hidden="1" customWidth="1"/>
    <col min="12" max="12" width="4.33203125" customWidth="1"/>
  </cols>
  <sheetData>
    <row r="1" spans="1:12" ht="20.25" customHeight="1" x14ac:dyDescent="0.35">
      <c r="A1" s="11" t="s">
        <v>41</v>
      </c>
      <c r="B1" s="2"/>
      <c r="C1" s="2"/>
      <c r="D1" s="2"/>
      <c r="E1" s="2"/>
      <c r="F1" s="12" t="s">
        <v>18</v>
      </c>
      <c r="G1" s="203">
        <f ca="1">TODAY()</f>
        <v>46313</v>
      </c>
      <c r="H1" s="203"/>
      <c r="I1" s="3">
        <f ca="1">TODAY()</f>
        <v>46313</v>
      </c>
    </row>
    <row r="2" spans="1:12" s="16" customFormat="1" ht="28.95" customHeight="1" x14ac:dyDescent="0.2">
      <c r="A2" s="14" t="s">
        <v>42</v>
      </c>
      <c r="B2" s="15"/>
      <c r="C2" s="15"/>
      <c r="D2" s="15"/>
      <c r="E2" s="15"/>
      <c r="F2" s="15"/>
      <c r="G2" s="15"/>
      <c r="H2" s="15"/>
    </row>
    <row r="3" spans="1:12" ht="19.95" customHeight="1" x14ac:dyDescent="0.25">
      <c r="A3" s="205" t="s">
        <v>1</v>
      </c>
      <c r="B3" s="205"/>
      <c r="C3" s="22"/>
      <c r="D3" s="6"/>
      <c r="E3" s="6"/>
      <c r="F3" s="6"/>
    </row>
    <row r="4" spans="1:12" ht="20.100000000000001" customHeight="1" x14ac:dyDescent="0.25">
      <c r="A4" s="212" t="s">
        <v>43</v>
      </c>
      <c r="B4" s="212"/>
      <c r="C4" s="202"/>
      <c r="D4" s="202"/>
      <c r="E4" s="202"/>
      <c r="F4" s="202"/>
    </row>
    <row r="5" spans="1:12" ht="20.100000000000001" customHeight="1" x14ac:dyDescent="0.25">
      <c r="A5" s="213" t="s">
        <v>44</v>
      </c>
      <c r="B5" s="213"/>
      <c r="C5" s="214"/>
      <c r="D5" s="214"/>
      <c r="E5" s="214"/>
      <c r="F5" s="214"/>
    </row>
    <row r="6" spans="1:12" ht="20.100000000000001" customHeight="1" x14ac:dyDescent="0.25">
      <c r="A6" s="12"/>
      <c r="B6" s="24" t="s">
        <v>45</v>
      </c>
      <c r="C6" s="202"/>
      <c r="D6" s="202"/>
      <c r="E6" s="202"/>
      <c r="F6" s="202"/>
    </row>
    <row r="7" spans="1:12" ht="20.100000000000001" customHeight="1" x14ac:dyDescent="0.25">
      <c r="A7" s="212" t="s">
        <v>46</v>
      </c>
      <c r="B7" s="212"/>
      <c r="C7" s="214"/>
      <c r="D7" s="214"/>
      <c r="E7" s="214"/>
      <c r="F7" s="214"/>
    </row>
    <row r="8" spans="1:12" ht="20.100000000000001" customHeight="1" x14ac:dyDescent="0.25">
      <c r="A8" s="12"/>
      <c r="B8" s="12"/>
    </row>
    <row r="9" spans="1:12" ht="20.100000000000001" customHeight="1" x14ac:dyDescent="0.25">
      <c r="A9" s="208" t="s">
        <v>32</v>
      </c>
      <c r="B9" s="208"/>
      <c r="C9" s="12"/>
      <c r="E9" s="24" t="s">
        <v>47</v>
      </c>
      <c r="F9" s="10"/>
    </row>
    <row r="10" spans="1:12" ht="20.100000000000001" customHeight="1" x14ac:dyDescent="0.25">
      <c r="A10" s="18"/>
      <c r="E10" s="12" t="s">
        <v>35</v>
      </c>
      <c r="F10" s="10"/>
    </row>
    <row r="11" spans="1:12" ht="20.100000000000001" customHeight="1" x14ac:dyDescent="0.25">
      <c r="A11" s="18"/>
      <c r="E11" s="12"/>
    </row>
    <row r="12" spans="1:12" ht="20.100000000000001" customHeight="1" x14ac:dyDescent="0.25">
      <c r="A12" s="18"/>
      <c r="B12" s="25" t="s">
        <v>48</v>
      </c>
      <c r="E12" s="12"/>
    </row>
    <row r="13" spans="1:12" ht="20.100000000000001" customHeight="1" x14ac:dyDescent="0.25">
      <c r="A13" s="19"/>
      <c r="B13" s="6"/>
      <c r="C13" s="6"/>
      <c r="D13" s="6"/>
      <c r="E13" s="6"/>
      <c r="F13" s="6"/>
      <c r="G13" s="6"/>
      <c r="H13" s="6"/>
      <c r="I13" s="6"/>
      <c r="J13" s="6"/>
    </row>
    <row r="14" spans="1:12" ht="9.9" customHeight="1" x14ac:dyDescent="0.25">
      <c r="A14" s="19" t="s">
        <v>36</v>
      </c>
      <c r="B14" s="209" t="s">
        <v>37</v>
      </c>
      <c r="C14" s="209"/>
      <c r="D14" s="209"/>
      <c r="E14" s="210" t="s">
        <v>38</v>
      </c>
      <c r="F14" s="210"/>
      <c r="G14" s="210"/>
      <c r="H14" s="210"/>
      <c r="I14" s="215" t="s">
        <v>49</v>
      </c>
      <c r="J14" s="215"/>
      <c r="K14" s="215"/>
      <c r="L14" s="215"/>
    </row>
    <row r="15" spans="1:12" ht="20.100000000000001" customHeight="1" x14ac:dyDescent="0.25">
      <c r="A15" s="20"/>
      <c r="B15" s="206"/>
      <c r="C15" s="206"/>
      <c r="D15" s="206"/>
      <c r="E15" s="207"/>
      <c r="F15" s="207"/>
      <c r="G15" s="207"/>
      <c r="H15" s="207"/>
      <c r="I15" s="207"/>
      <c r="J15" s="207"/>
      <c r="K15" s="207"/>
      <c r="L15" s="207"/>
    </row>
    <row r="16" spans="1:12" ht="20.100000000000001" customHeight="1" x14ac:dyDescent="0.25">
      <c r="A16" s="20"/>
      <c r="B16" s="206"/>
      <c r="C16" s="206"/>
      <c r="D16" s="206"/>
      <c r="E16" s="207"/>
      <c r="F16" s="207"/>
      <c r="G16" s="207"/>
      <c r="H16" s="207"/>
      <c r="I16" s="207"/>
      <c r="J16" s="207"/>
      <c r="K16" s="207"/>
      <c r="L16" s="207"/>
    </row>
    <row r="17" spans="1:12" ht="20.100000000000001" customHeight="1" x14ac:dyDescent="0.25">
      <c r="A17" s="20"/>
      <c r="B17" s="206"/>
      <c r="C17" s="206"/>
      <c r="D17" s="206"/>
      <c r="E17" s="207"/>
      <c r="F17" s="207"/>
      <c r="G17" s="207"/>
      <c r="H17" s="207"/>
      <c r="I17" s="207"/>
      <c r="J17" s="207"/>
      <c r="K17" s="207"/>
      <c r="L17" s="207"/>
    </row>
    <row r="18" spans="1:12" ht="20.100000000000001" customHeight="1" x14ac:dyDescent="0.25">
      <c r="A18" s="20"/>
      <c r="B18" s="206"/>
      <c r="C18" s="206"/>
      <c r="D18" s="206"/>
      <c r="E18" s="207"/>
      <c r="F18" s="207"/>
      <c r="G18" s="207"/>
      <c r="H18" s="207"/>
      <c r="I18" s="207"/>
      <c r="J18" s="207"/>
      <c r="K18" s="207"/>
      <c r="L18" s="207"/>
    </row>
    <row r="19" spans="1:12" ht="20.100000000000001" customHeight="1" x14ac:dyDescent="0.25">
      <c r="A19" s="20"/>
      <c r="B19" s="206"/>
      <c r="C19" s="206"/>
      <c r="D19" s="206"/>
      <c r="E19" s="207"/>
      <c r="F19" s="207"/>
      <c r="G19" s="207"/>
      <c r="H19" s="207"/>
      <c r="I19" s="207"/>
      <c r="J19" s="207"/>
      <c r="K19" s="207"/>
      <c r="L19" s="207"/>
    </row>
    <row r="20" spans="1:12" ht="20.100000000000001" customHeight="1" x14ac:dyDescent="0.25">
      <c r="A20" s="20"/>
      <c r="B20" s="206"/>
      <c r="C20" s="206"/>
      <c r="D20" s="206"/>
      <c r="E20" s="207"/>
      <c r="F20" s="207"/>
      <c r="G20" s="207"/>
      <c r="H20" s="207"/>
      <c r="I20" s="207"/>
      <c r="J20" s="207"/>
      <c r="K20" s="207"/>
      <c r="L20" s="207"/>
    </row>
    <row r="21" spans="1:12" ht="20.100000000000001" customHeight="1" x14ac:dyDescent="0.25">
      <c r="A21" s="20"/>
      <c r="B21" s="206"/>
      <c r="C21" s="206"/>
      <c r="D21" s="206"/>
      <c r="E21" s="207"/>
      <c r="F21" s="207"/>
      <c r="G21" s="207"/>
      <c r="H21" s="207"/>
      <c r="I21" s="207"/>
      <c r="J21" s="207"/>
      <c r="K21" s="207"/>
      <c r="L21" s="207"/>
    </row>
    <row r="22" spans="1:12" ht="20.100000000000001" customHeight="1" x14ac:dyDescent="0.25">
      <c r="A22" s="20"/>
      <c r="B22" s="206"/>
      <c r="C22" s="206"/>
      <c r="D22" s="206"/>
      <c r="E22" s="207"/>
      <c r="F22" s="207"/>
      <c r="G22" s="207"/>
      <c r="H22" s="207"/>
      <c r="I22" s="207"/>
      <c r="J22" s="207"/>
      <c r="K22" s="207"/>
      <c r="L22" s="207"/>
    </row>
    <row r="23" spans="1:12" ht="20.100000000000001" customHeight="1" x14ac:dyDescent="0.25">
      <c r="A23" s="20"/>
      <c r="B23" s="206"/>
      <c r="C23" s="206"/>
      <c r="D23" s="206"/>
      <c r="E23" s="207"/>
      <c r="F23" s="207"/>
      <c r="G23" s="207"/>
      <c r="H23" s="207"/>
      <c r="I23" s="207"/>
      <c r="J23" s="207"/>
      <c r="K23" s="207"/>
      <c r="L23" s="207"/>
    </row>
    <row r="24" spans="1:12" ht="20.100000000000001" customHeight="1" x14ac:dyDescent="0.25">
      <c r="A24" s="20"/>
      <c r="B24" s="206"/>
      <c r="C24" s="206"/>
      <c r="D24" s="206"/>
      <c r="E24" s="207"/>
      <c r="F24" s="207"/>
      <c r="G24" s="207"/>
      <c r="H24" s="207"/>
      <c r="I24" s="207"/>
      <c r="J24" s="207"/>
      <c r="K24" s="207"/>
      <c r="L24" s="207"/>
    </row>
    <row r="25" spans="1:12" ht="20.100000000000001" customHeight="1" x14ac:dyDescent="0.25">
      <c r="A25" s="20"/>
      <c r="B25" s="206"/>
      <c r="C25" s="206"/>
      <c r="D25" s="206"/>
      <c r="E25" s="207"/>
      <c r="F25" s="207"/>
      <c r="G25" s="207"/>
      <c r="H25" s="207"/>
      <c r="I25" s="207"/>
      <c r="J25" s="207"/>
      <c r="K25" s="207"/>
      <c r="L25" s="207"/>
    </row>
    <row r="26" spans="1:12" ht="20.100000000000001" customHeight="1" x14ac:dyDescent="0.25">
      <c r="A26" s="20"/>
      <c r="B26" s="206"/>
      <c r="C26" s="206"/>
      <c r="D26" s="206"/>
      <c r="E26" s="207"/>
      <c r="F26" s="207"/>
      <c r="G26" s="207"/>
      <c r="H26" s="207"/>
      <c r="I26" s="207"/>
      <c r="J26" s="207"/>
      <c r="K26" s="207"/>
      <c r="L26" s="207"/>
    </row>
    <row r="27" spans="1:12" ht="20.100000000000001" customHeight="1" x14ac:dyDescent="0.25">
      <c r="A27" s="20"/>
      <c r="B27" s="206"/>
      <c r="C27" s="206"/>
      <c r="D27" s="206"/>
      <c r="E27" s="207"/>
      <c r="F27" s="207"/>
      <c r="G27" s="207"/>
      <c r="H27" s="207"/>
      <c r="I27" s="207"/>
      <c r="J27" s="207"/>
      <c r="K27" s="207"/>
      <c r="L27" s="207"/>
    </row>
    <row r="28" spans="1:12" ht="20.100000000000001" customHeight="1" x14ac:dyDescent="0.25">
      <c r="A28" s="20"/>
      <c r="B28" s="206"/>
      <c r="C28" s="206"/>
      <c r="D28" s="206"/>
      <c r="E28" s="207"/>
      <c r="F28" s="207"/>
      <c r="G28" s="207"/>
      <c r="H28" s="207"/>
      <c r="I28" s="207"/>
      <c r="J28" s="207"/>
      <c r="K28" s="207"/>
      <c r="L28" s="207"/>
    </row>
    <row r="29" spans="1:12" ht="20.100000000000001" customHeight="1" x14ac:dyDescent="0.25">
      <c r="A29" s="20"/>
      <c r="B29" s="206"/>
      <c r="C29" s="206"/>
      <c r="D29" s="206"/>
      <c r="E29" s="207"/>
      <c r="F29" s="207"/>
      <c r="G29" s="207"/>
      <c r="H29" s="207"/>
      <c r="I29" s="207"/>
      <c r="J29" s="207"/>
      <c r="K29" s="207"/>
      <c r="L29" s="207"/>
    </row>
    <row r="30" spans="1:12" ht="20.100000000000001" customHeight="1" x14ac:dyDescent="0.25">
      <c r="A30" s="20"/>
      <c r="B30" s="206"/>
      <c r="C30" s="206"/>
      <c r="D30" s="206"/>
      <c r="E30" s="207"/>
      <c r="F30" s="207"/>
      <c r="G30" s="207"/>
      <c r="H30" s="207"/>
      <c r="I30" s="207"/>
      <c r="J30" s="207"/>
      <c r="K30" s="207"/>
      <c r="L30" s="207"/>
    </row>
    <row r="31" spans="1:12" ht="20.100000000000001" customHeight="1" x14ac:dyDescent="0.25">
      <c r="F31" s="26"/>
    </row>
    <row r="32" spans="1:12" x14ac:dyDescent="0.25">
      <c r="A32" s="211" t="s">
        <v>39</v>
      </c>
      <c r="B32" s="211"/>
      <c r="C32" s="211"/>
      <c r="F32" s="211" t="s">
        <v>40</v>
      </c>
      <c r="G32" s="211"/>
      <c r="H32" s="211"/>
    </row>
  </sheetData>
  <sheetProtection selectLockedCells="1" selectUnlockedCells="1"/>
  <mergeCells count="63">
    <mergeCell ref="A32:C32"/>
    <mergeCell ref="F32:H32"/>
    <mergeCell ref="B29:D29"/>
    <mergeCell ref="E29:H29"/>
    <mergeCell ref="I29:L29"/>
    <mergeCell ref="B30:D30"/>
    <mergeCell ref="E30:H30"/>
    <mergeCell ref="I30:L30"/>
    <mergeCell ref="B27:D27"/>
    <mergeCell ref="E27:H27"/>
    <mergeCell ref="I27:L27"/>
    <mergeCell ref="B28:D28"/>
    <mergeCell ref="E28:H28"/>
    <mergeCell ref="I28:L28"/>
    <mergeCell ref="B25:D25"/>
    <mergeCell ref="E25:H25"/>
    <mergeCell ref="I25:L25"/>
    <mergeCell ref="B26:D26"/>
    <mergeCell ref="E26:H26"/>
    <mergeCell ref="I26:L26"/>
    <mergeCell ref="B23:D23"/>
    <mergeCell ref="E23:H23"/>
    <mergeCell ref="I23:L23"/>
    <mergeCell ref="B24:D24"/>
    <mergeCell ref="E24:H24"/>
    <mergeCell ref="I24:L24"/>
    <mergeCell ref="B21:D21"/>
    <mergeCell ref="E21:H21"/>
    <mergeCell ref="I21:L21"/>
    <mergeCell ref="B22:D22"/>
    <mergeCell ref="E22:H22"/>
    <mergeCell ref="I22:L22"/>
    <mergeCell ref="B19:D19"/>
    <mergeCell ref="E19:H19"/>
    <mergeCell ref="I19:L19"/>
    <mergeCell ref="B20:D20"/>
    <mergeCell ref="E20:H20"/>
    <mergeCell ref="I20:L20"/>
    <mergeCell ref="B17:D17"/>
    <mergeCell ref="E17:H17"/>
    <mergeCell ref="I17:L17"/>
    <mergeCell ref="B18:D18"/>
    <mergeCell ref="E18:H18"/>
    <mergeCell ref="I18:L18"/>
    <mergeCell ref="I14:L14"/>
    <mergeCell ref="B15:D15"/>
    <mergeCell ref="E15:H15"/>
    <mergeCell ref="I15:L15"/>
    <mergeCell ref="B16:D16"/>
    <mergeCell ref="E16:H16"/>
    <mergeCell ref="I16:L16"/>
    <mergeCell ref="C6:F6"/>
    <mergeCell ref="A7:B7"/>
    <mergeCell ref="C7:F7"/>
    <mergeCell ref="A9:B9"/>
    <mergeCell ref="B14:D14"/>
    <mergeCell ref="E14:H14"/>
    <mergeCell ref="G1:H1"/>
    <mergeCell ref="A3:B3"/>
    <mergeCell ref="A4:B4"/>
    <mergeCell ref="C4:F4"/>
    <mergeCell ref="A5:B5"/>
    <mergeCell ref="C5:F5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64281-360D-4764-B1F7-28611461099B}">
  <sheetPr codeName="Tabelle4">
    <pageSetUpPr fitToPage="1"/>
  </sheetPr>
  <dimension ref="A1:F43"/>
  <sheetViews>
    <sheetView workbookViewId="0">
      <selection activeCell="B7" sqref="B7"/>
    </sheetView>
  </sheetViews>
  <sheetFormatPr baseColWidth="10" defaultColWidth="11" defaultRowHeight="13.2" x14ac:dyDescent="0.25"/>
  <cols>
    <col min="1" max="3" width="22.6640625" customWidth="1"/>
    <col min="4" max="4" width="6.109375" customWidth="1"/>
    <col min="5" max="5" width="4.6640625" customWidth="1"/>
  </cols>
  <sheetData>
    <row r="1" spans="1:6" ht="25.5" customHeight="1" x14ac:dyDescent="0.4">
      <c r="A1" s="1" t="s">
        <v>50</v>
      </c>
      <c r="B1" s="2"/>
      <c r="C1" s="2"/>
      <c r="D1" s="2"/>
      <c r="E1" s="2"/>
      <c r="F1" s="2"/>
    </row>
    <row r="2" spans="1:6" ht="20.100000000000001" customHeight="1" x14ac:dyDescent="0.4">
      <c r="A2" s="1"/>
      <c r="B2" s="2"/>
      <c r="C2" s="2"/>
      <c r="D2" s="2"/>
      <c r="E2" s="2"/>
      <c r="F2" s="2"/>
    </row>
    <row r="3" spans="1:6" ht="20.100000000000001" customHeight="1" x14ac:dyDescent="0.25">
      <c r="A3" s="17" t="s">
        <v>20</v>
      </c>
      <c r="B3" s="27"/>
      <c r="C3" s="6"/>
    </row>
    <row r="4" spans="1:6" ht="20.100000000000001" customHeight="1" x14ac:dyDescent="0.25">
      <c r="A4" s="17" t="s">
        <v>21</v>
      </c>
      <c r="B4" s="27"/>
      <c r="C4" s="6"/>
    </row>
    <row r="5" spans="1:6" ht="20.100000000000001" customHeight="1" x14ac:dyDescent="0.25">
      <c r="A5" s="17" t="s">
        <v>22</v>
      </c>
      <c r="B5" s="27"/>
      <c r="C5" s="6"/>
    </row>
    <row r="6" spans="1:6" ht="20.100000000000001" customHeight="1" x14ac:dyDescent="0.25">
      <c r="A6" s="17"/>
      <c r="B6" s="2"/>
    </row>
    <row r="7" spans="1:6" ht="20.100000000000001" customHeight="1" x14ac:dyDescent="0.25">
      <c r="A7" s="12" t="s">
        <v>1</v>
      </c>
      <c r="B7" s="5"/>
      <c r="C7" s="6"/>
    </row>
    <row r="8" spans="1:6" ht="20.100000000000001" customHeight="1" x14ac:dyDescent="0.25">
      <c r="A8" s="17" t="s">
        <v>3</v>
      </c>
      <c r="B8" s="13"/>
      <c r="C8" s="6"/>
    </row>
    <row r="9" spans="1:6" ht="20.100000000000001" customHeight="1" x14ac:dyDescent="0.25">
      <c r="A9" s="17" t="s">
        <v>4</v>
      </c>
      <c r="B9" s="13"/>
      <c r="C9" s="6"/>
    </row>
    <row r="10" spans="1:6" ht="20.100000000000001" customHeight="1" x14ac:dyDescent="0.25">
      <c r="A10" s="17" t="s">
        <v>51</v>
      </c>
      <c r="B10" s="27"/>
      <c r="C10" s="6"/>
    </row>
    <row r="11" spans="1:6" ht="20.100000000000001" customHeight="1" x14ac:dyDescent="0.25">
      <c r="B11" s="2"/>
    </row>
    <row r="12" spans="1:6" ht="20.100000000000001" customHeight="1" x14ac:dyDescent="0.25">
      <c r="A12" s="17" t="s">
        <v>5</v>
      </c>
      <c r="B12" s="27"/>
      <c r="C12" s="6"/>
    </row>
    <row r="13" spans="1:6" ht="20.100000000000001" customHeight="1" x14ac:dyDescent="0.25">
      <c r="A13" s="17" t="s">
        <v>6</v>
      </c>
      <c r="B13" s="27"/>
      <c r="C13" s="6"/>
    </row>
    <row r="14" spans="1:6" ht="20.100000000000001" customHeight="1" x14ac:dyDescent="0.25">
      <c r="A14" s="12" t="s">
        <v>7</v>
      </c>
      <c r="B14" s="27"/>
      <c r="C14" s="6"/>
    </row>
    <row r="15" spans="1:6" ht="20.100000000000001" customHeight="1" x14ac:dyDescent="0.25">
      <c r="A15" s="12" t="s">
        <v>26</v>
      </c>
      <c r="B15" s="28"/>
      <c r="C15" s="29"/>
    </row>
    <row r="16" spans="1:6" ht="20.100000000000001" customHeight="1" x14ac:dyDescent="0.25">
      <c r="A16" s="12" t="s">
        <v>27</v>
      </c>
      <c r="B16" s="28"/>
      <c r="C16" s="29"/>
    </row>
    <row r="17" spans="1:6" ht="20.100000000000001" customHeight="1" x14ac:dyDescent="0.25">
      <c r="A17" s="12" t="s">
        <v>28</v>
      </c>
      <c r="B17" s="28"/>
      <c r="C17" s="29"/>
    </row>
    <row r="18" spans="1:6" ht="20.100000000000001" customHeight="1" x14ac:dyDescent="0.25">
      <c r="A18" s="12" t="s">
        <v>29</v>
      </c>
      <c r="B18" s="28"/>
      <c r="C18" s="29"/>
    </row>
    <row r="19" spans="1:6" ht="20.100000000000001" customHeight="1" x14ac:dyDescent="0.25">
      <c r="A19" s="12" t="s">
        <v>30</v>
      </c>
      <c r="B19" s="28"/>
      <c r="C19" s="29"/>
    </row>
    <row r="20" spans="1:6" ht="20.100000000000001" customHeight="1" x14ac:dyDescent="0.25">
      <c r="A20" s="12" t="s">
        <v>8</v>
      </c>
      <c r="B20" s="27"/>
      <c r="C20" s="6"/>
    </row>
    <row r="21" spans="1:6" ht="15" customHeight="1" x14ac:dyDescent="0.25">
      <c r="A21" s="7"/>
    </row>
    <row r="22" spans="1:6" ht="15" customHeight="1" x14ac:dyDescent="0.25">
      <c r="A22" s="216" t="s">
        <v>52</v>
      </c>
      <c r="B22" s="216"/>
      <c r="C22" s="216"/>
      <c r="D22" s="216"/>
      <c r="E22" s="216"/>
      <c r="F22" s="216"/>
    </row>
    <row r="23" spans="1:6" ht="15" customHeight="1" x14ac:dyDescent="0.25">
      <c r="A23" s="7"/>
    </row>
    <row r="24" spans="1:6" ht="15" customHeight="1" x14ac:dyDescent="0.25">
      <c r="A24" s="30"/>
      <c r="B24" s="6"/>
      <c r="C24" s="6"/>
      <c r="D24" s="6"/>
      <c r="E24" s="6"/>
      <c r="F24" s="6"/>
    </row>
    <row r="25" spans="1:6" ht="20.100000000000001" customHeight="1" x14ac:dyDescent="0.25">
      <c r="A25" s="30"/>
      <c r="B25" s="6"/>
      <c r="C25" s="6"/>
      <c r="D25" s="6"/>
      <c r="E25" s="6"/>
      <c r="F25" s="6"/>
    </row>
    <row r="26" spans="1:6" ht="20.100000000000001" customHeight="1" x14ac:dyDescent="0.25">
      <c r="A26" s="30"/>
      <c r="B26" s="6"/>
      <c r="C26" s="6"/>
      <c r="D26" s="6"/>
      <c r="E26" s="6"/>
      <c r="F26" s="6"/>
    </row>
    <row r="27" spans="1:6" ht="20.100000000000001" customHeight="1" x14ac:dyDescent="0.25">
      <c r="A27" s="30"/>
      <c r="B27" s="6"/>
      <c r="C27" s="6"/>
      <c r="D27" s="6"/>
      <c r="E27" s="6"/>
      <c r="F27" s="6"/>
    </row>
    <row r="28" spans="1:6" ht="20.100000000000001" customHeight="1" x14ac:dyDescent="0.25">
      <c r="A28" s="7"/>
      <c r="B28" s="216" t="s">
        <v>53</v>
      </c>
      <c r="C28" s="216"/>
    </row>
    <row r="29" spans="1:6" ht="20.100000000000001" customHeight="1" x14ac:dyDescent="0.25">
      <c r="A29" s="7"/>
    </row>
    <row r="30" spans="1:6" ht="20.100000000000001" customHeight="1" x14ac:dyDescent="0.25">
      <c r="A30" s="30"/>
      <c r="B30" s="6"/>
      <c r="C30" s="6"/>
      <c r="D30" s="6"/>
      <c r="E30" s="6"/>
      <c r="F30" s="6"/>
    </row>
    <row r="31" spans="1:6" ht="20.100000000000001" customHeight="1" x14ac:dyDescent="0.25">
      <c r="A31" s="30"/>
      <c r="B31" s="6"/>
      <c r="C31" s="6"/>
      <c r="D31" s="6"/>
      <c r="E31" s="6"/>
      <c r="F31" s="6"/>
    </row>
    <row r="32" spans="1:6" ht="20.100000000000001" customHeight="1" x14ac:dyDescent="0.25">
      <c r="A32" s="30"/>
      <c r="B32" s="6"/>
      <c r="C32" s="6"/>
      <c r="D32" s="6"/>
      <c r="E32" s="6"/>
      <c r="F32" s="6"/>
    </row>
    <row r="33" spans="1:6" ht="20.100000000000001" customHeight="1" x14ac:dyDescent="0.25">
      <c r="A33" s="20"/>
      <c r="B33" s="29"/>
      <c r="C33" s="29"/>
      <c r="D33" s="29"/>
      <c r="E33" s="29"/>
      <c r="F33" s="29"/>
    </row>
    <row r="34" spans="1:6" ht="20.100000000000001" customHeight="1" x14ac:dyDescent="0.25">
      <c r="B34" s="216" t="s">
        <v>54</v>
      </c>
      <c r="C34" s="216"/>
    </row>
    <row r="35" spans="1:6" ht="20.100000000000001" customHeight="1" x14ac:dyDescent="0.25"/>
    <row r="36" spans="1:6" ht="20.100000000000001" customHeight="1" x14ac:dyDescent="0.25">
      <c r="A36" s="30"/>
      <c r="B36" s="6"/>
      <c r="C36" s="6"/>
      <c r="D36" s="6"/>
      <c r="E36" s="6"/>
      <c r="F36" s="6"/>
    </row>
    <row r="37" spans="1:6" ht="20.100000000000001" customHeight="1" x14ac:dyDescent="0.25">
      <c r="A37" s="30"/>
      <c r="B37" s="6"/>
      <c r="C37" s="6"/>
      <c r="D37" s="6"/>
      <c r="E37" s="6"/>
      <c r="F37" s="6"/>
    </row>
    <row r="38" spans="1:6" ht="20.100000000000001" customHeight="1" x14ac:dyDescent="0.25">
      <c r="A38" s="30"/>
      <c r="B38" s="6"/>
      <c r="C38" s="6"/>
      <c r="D38" s="6"/>
      <c r="E38" s="6"/>
      <c r="F38" s="6"/>
    </row>
    <row r="39" spans="1:6" ht="20.100000000000001" customHeight="1" x14ac:dyDescent="0.25">
      <c r="A39" s="20"/>
      <c r="B39" s="29"/>
      <c r="C39" s="29"/>
      <c r="D39" s="29"/>
      <c r="E39" s="29"/>
      <c r="F39" s="29"/>
    </row>
    <row r="40" spans="1:6" ht="20.100000000000001" customHeight="1" x14ac:dyDescent="0.25">
      <c r="A40" s="30"/>
      <c r="B40" s="6"/>
      <c r="C40" s="6"/>
      <c r="D40" s="6"/>
      <c r="E40" s="6"/>
      <c r="F40" s="6"/>
    </row>
    <row r="41" spans="1:6" ht="15" customHeight="1" x14ac:dyDescent="0.25"/>
    <row r="42" spans="1:6" ht="15" customHeight="1" x14ac:dyDescent="0.25">
      <c r="C42" s="5"/>
      <c r="D42" s="6"/>
      <c r="E42" s="6"/>
      <c r="F42" s="6"/>
    </row>
    <row r="43" spans="1:6" x14ac:dyDescent="0.25">
      <c r="C43" s="200" t="s">
        <v>16</v>
      </c>
      <c r="D43" s="200"/>
      <c r="E43" s="200"/>
      <c r="F43" s="200"/>
    </row>
  </sheetData>
  <sheetProtection selectLockedCells="1" selectUnlockedCells="1"/>
  <mergeCells count="4">
    <mergeCell ref="A22:F22"/>
    <mergeCell ref="B28:C28"/>
    <mergeCell ref="B34:C34"/>
    <mergeCell ref="C43:F43"/>
  </mergeCells>
  <pageMargins left="0.39374999999999999" right="0" top="0.19652777777777777" bottom="0.19652777777777777" header="0.51181102362204722" footer="0.51181102362204722"/>
  <pageSetup paperSize="9" firstPageNumber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86A1-0A64-46DA-89BE-1769A1B462BC}">
  <sheetPr codeName="Tabelle5"/>
  <dimension ref="A1:R87"/>
  <sheetViews>
    <sheetView workbookViewId="0">
      <selection activeCell="G2" sqref="G2"/>
    </sheetView>
  </sheetViews>
  <sheetFormatPr baseColWidth="10" defaultColWidth="11" defaultRowHeight="13.2" x14ac:dyDescent="0.25"/>
  <cols>
    <col min="1" max="1" width="1.33203125" customWidth="1"/>
    <col min="2" max="2" width="8.33203125" customWidth="1"/>
    <col min="3" max="3" width="14.6640625" customWidth="1"/>
    <col min="4" max="4" width="4.6640625" customWidth="1"/>
    <col min="5" max="5" width="4.33203125" customWidth="1"/>
    <col min="6" max="6" width="5.5546875" customWidth="1"/>
    <col min="7" max="10" width="4.6640625" customWidth="1"/>
    <col min="11" max="11" width="4.44140625" customWidth="1"/>
    <col min="12" max="13" width="4.5546875" customWidth="1"/>
    <col min="14" max="16" width="4.88671875" customWidth="1"/>
    <col min="17" max="17" width="6.5546875" customWidth="1"/>
    <col min="18" max="18" width="10.6640625" customWidth="1"/>
    <col min="19" max="19" width="11.44140625" customWidth="1"/>
  </cols>
  <sheetData>
    <row r="1" spans="1:18" ht="7.5" customHeight="1" x14ac:dyDescent="0.25">
      <c r="A1" s="31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3"/>
    </row>
    <row r="2" spans="1:18" ht="25.5" customHeight="1" x14ac:dyDescent="0.25">
      <c r="A2" s="34"/>
      <c r="B2" s="35" t="s">
        <v>55</v>
      </c>
      <c r="C2" s="36"/>
      <c r="D2" s="36"/>
      <c r="E2" s="36"/>
      <c r="G2" s="37"/>
      <c r="H2" s="38"/>
      <c r="I2" s="37"/>
      <c r="K2" s="35" t="s">
        <v>56</v>
      </c>
      <c r="L2" s="39"/>
      <c r="M2" s="39"/>
      <c r="N2" s="39"/>
      <c r="O2" s="39"/>
      <c r="P2" s="39"/>
      <c r="Q2" s="39"/>
      <c r="R2" s="40"/>
    </row>
    <row r="3" spans="1:18" ht="13.5" customHeight="1" x14ac:dyDescent="0.25">
      <c r="A3" s="34"/>
      <c r="B3" s="41"/>
      <c r="C3" s="41"/>
      <c r="D3" s="41"/>
      <c r="E3" s="41"/>
      <c r="G3" s="42"/>
      <c r="H3" s="38"/>
      <c r="I3" s="42"/>
      <c r="K3" s="41"/>
      <c r="L3" s="41"/>
      <c r="M3" s="41"/>
      <c r="N3" s="41"/>
      <c r="O3" s="41"/>
      <c r="P3" s="41"/>
      <c r="Q3" s="41"/>
      <c r="R3" s="40"/>
    </row>
    <row r="4" spans="1:18" ht="16.5" customHeight="1" x14ac:dyDescent="0.25">
      <c r="A4" s="34"/>
      <c r="B4" s="221" t="s">
        <v>57</v>
      </c>
      <c r="C4" s="221"/>
      <c r="D4" s="221"/>
      <c r="E4" s="222"/>
      <c r="F4" s="222"/>
      <c r="G4" s="222"/>
      <c r="H4" s="222"/>
      <c r="I4" s="222"/>
      <c r="J4" s="222"/>
      <c r="K4" s="222"/>
      <c r="L4" s="222"/>
      <c r="M4" s="222"/>
      <c r="N4" s="222"/>
      <c r="O4" s="26"/>
      <c r="P4" s="26"/>
      <c r="Q4" s="26"/>
      <c r="R4" s="43"/>
    </row>
    <row r="5" spans="1:18" ht="15" customHeight="1" x14ac:dyDescent="0.25">
      <c r="A5" s="34"/>
      <c r="B5" s="220" t="s">
        <v>20</v>
      </c>
      <c r="C5" s="220"/>
      <c r="D5" s="219"/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6"/>
      <c r="R5" s="43"/>
    </row>
    <row r="6" spans="1:18" ht="15" customHeight="1" x14ac:dyDescent="0.25">
      <c r="A6" s="34"/>
      <c r="B6" s="218" t="s">
        <v>21</v>
      </c>
      <c r="C6" s="218"/>
      <c r="D6" s="223"/>
      <c r="E6" s="223"/>
      <c r="F6" s="223"/>
      <c r="G6" s="223"/>
      <c r="H6" s="223"/>
      <c r="I6" s="223"/>
      <c r="J6" s="223"/>
      <c r="K6" s="223"/>
      <c r="L6" s="223"/>
      <c r="M6" s="223"/>
      <c r="N6" s="223"/>
      <c r="O6" s="26"/>
      <c r="P6" s="217" t="s">
        <v>18</v>
      </c>
      <c r="Q6" s="217"/>
      <c r="R6" s="46">
        <f ca="1">TODAY()</f>
        <v>46313</v>
      </c>
    </row>
    <row r="7" spans="1:18" ht="15" customHeight="1" x14ac:dyDescent="0.25">
      <c r="A7" s="34"/>
      <c r="B7" s="218" t="s">
        <v>22</v>
      </c>
      <c r="C7" s="218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6"/>
      <c r="P7" s="217"/>
      <c r="Q7" s="217"/>
      <c r="R7" s="47"/>
    </row>
    <row r="8" spans="1:18" ht="15" customHeight="1" x14ac:dyDescent="0.25">
      <c r="A8" s="34"/>
      <c r="B8" s="220" t="s">
        <v>58</v>
      </c>
      <c r="C8" s="22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6"/>
      <c r="P8" s="217"/>
      <c r="Q8" s="217"/>
      <c r="R8" s="48"/>
    </row>
    <row r="9" spans="1:18" ht="15" customHeight="1" x14ac:dyDescent="0.25">
      <c r="A9" s="34"/>
      <c r="B9" s="220" t="s">
        <v>59</v>
      </c>
      <c r="C9" s="220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P9" s="49" t="s">
        <v>24</v>
      </c>
      <c r="Q9" s="227"/>
      <c r="R9" s="227"/>
    </row>
    <row r="10" spans="1:18" ht="15" customHeight="1" x14ac:dyDescent="0.25">
      <c r="A10" s="34"/>
      <c r="B10" s="218"/>
      <c r="C10" s="21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8"/>
      <c r="P10" s="49" t="s">
        <v>25</v>
      </c>
      <c r="Q10" s="229"/>
      <c r="R10" s="229"/>
    </row>
    <row r="11" spans="1:18" ht="12" customHeight="1" x14ac:dyDescent="0.25">
      <c r="A11" s="34"/>
      <c r="B11" s="44"/>
      <c r="C11" s="44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P11" s="49"/>
      <c r="R11" s="48"/>
    </row>
    <row r="12" spans="1:18" ht="20.100000000000001" customHeight="1" x14ac:dyDescent="0.25">
      <c r="A12" s="34"/>
      <c r="B12" s="23"/>
      <c r="C12" s="23"/>
      <c r="D12" s="50"/>
      <c r="E12" s="51"/>
      <c r="F12" s="52" t="s">
        <v>60</v>
      </c>
      <c r="G12" s="26"/>
      <c r="H12" s="26"/>
      <c r="I12" s="26"/>
      <c r="J12" s="51"/>
      <c r="K12" s="52" t="s">
        <v>61</v>
      </c>
      <c r="L12" s="26"/>
      <c r="M12" s="26"/>
      <c r="N12" s="53"/>
      <c r="O12" s="26"/>
      <c r="P12" s="45"/>
      <c r="Q12" s="54"/>
      <c r="R12" s="43"/>
    </row>
    <row r="13" spans="1:18" ht="13.5" customHeight="1" x14ac:dyDescent="0.25">
      <c r="A13" s="34"/>
      <c r="B13" s="23"/>
      <c r="C13" s="23"/>
      <c r="D13" s="50"/>
      <c r="E13" s="50"/>
      <c r="F13" s="50"/>
      <c r="G13" s="26"/>
      <c r="H13" s="26"/>
      <c r="I13" s="26"/>
      <c r="J13" s="26"/>
      <c r="K13" s="26"/>
      <c r="L13" s="26"/>
      <c r="M13" s="26"/>
      <c r="N13" s="53"/>
      <c r="O13" s="26"/>
      <c r="P13" s="45"/>
      <c r="Q13" s="54"/>
      <c r="R13" s="43"/>
    </row>
    <row r="14" spans="1:18" ht="15" customHeight="1" x14ac:dyDescent="0.25">
      <c r="A14" s="34"/>
      <c r="B14" s="220" t="s">
        <v>1</v>
      </c>
      <c r="C14" s="220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55"/>
    </row>
    <row r="15" spans="1:18" ht="15" customHeight="1" x14ac:dyDescent="0.25">
      <c r="A15" s="34"/>
      <c r="B15" s="220" t="s">
        <v>5</v>
      </c>
      <c r="C15" s="220"/>
      <c r="D15" s="225"/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55"/>
    </row>
    <row r="16" spans="1:18" ht="14.25" customHeight="1" x14ac:dyDescent="0.25">
      <c r="A16" s="34"/>
      <c r="B16" s="220" t="s">
        <v>6</v>
      </c>
      <c r="C16" s="220"/>
      <c r="D16" s="225"/>
      <c r="E16" s="225"/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55"/>
    </row>
    <row r="17" spans="1:18" ht="15" customHeight="1" x14ac:dyDescent="0.25">
      <c r="A17" s="34"/>
      <c r="B17" s="220" t="s">
        <v>7</v>
      </c>
      <c r="C17" s="220"/>
      <c r="D17" s="225"/>
      <c r="E17" s="225"/>
      <c r="F17" s="225"/>
      <c r="G17" s="225"/>
      <c r="H17" s="225"/>
      <c r="I17" s="225"/>
      <c r="J17" s="225"/>
      <c r="K17" s="225"/>
      <c r="L17" s="225"/>
      <c r="M17" s="225"/>
      <c r="N17" s="225"/>
      <c r="O17" s="225"/>
      <c r="P17" s="225"/>
      <c r="Q17" s="225"/>
      <c r="R17" s="55"/>
    </row>
    <row r="18" spans="1:18" ht="15" customHeight="1" x14ac:dyDescent="0.25">
      <c r="A18" s="34"/>
      <c r="B18" s="45"/>
      <c r="C18" s="45" t="s">
        <v>62</v>
      </c>
      <c r="D18" s="225"/>
      <c r="E18" s="225"/>
      <c r="F18" s="225"/>
      <c r="G18" s="225"/>
      <c r="H18" s="225"/>
      <c r="I18" s="225"/>
      <c r="J18" s="225"/>
      <c r="K18" s="225"/>
      <c r="L18" s="225"/>
      <c r="M18" s="225"/>
      <c r="N18" s="225"/>
      <c r="O18" s="225"/>
      <c r="P18" s="225"/>
      <c r="Q18" s="225"/>
      <c r="R18" s="43"/>
    </row>
    <row r="19" spans="1:18" ht="15" customHeight="1" x14ac:dyDescent="0.25">
      <c r="A19" s="34"/>
      <c r="B19" s="45"/>
      <c r="C19" s="45" t="s">
        <v>27</v>
      </c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43"/>
    </row>
    <row r="20" spans="1:18" ht="15" customHeight="1" x14ac:dyDescent="0.25">
      <c r="A20" s="34"/>
      <c r="B20" s="45"/>
      <c r="C20" s="45" t="s">
        <v>29</v>
      </c>
      <c r="D20" s="225"/>
      <c r="E20" s="225"/>
      <c r="F20" s="225"/>
      <c r="G20" s="225"/>
      <c r="H20" s="225"/>
      <c r="I20" s="225"/>
      <c r="J20" s="225"/>
      <c r="K20" s="225"/>
      <c r="L20" s="225"/>
      <c r="M20" s="225"/>
      <c r="N20" s="225"/>
      <c r="O20" s="225"/>
      <c r="P20" s="225"/>
      <c r="Q20" s="225"/>
      <c r="R20" s="43"/>
    </row>
    <row r="21" spans="1:18" ht="15" customHeight="1" x14ac:dyDescent="0.25">
      <c r="A21" s="34"/>
      <c r="B21" s="217" t="s">
        <v>28</v>
      </c>
      <c r="C21" s="217"/>
      <c r="D21" s="225"/>
      <c r="E21" s="225"/>
      <c r="F21" s="225"/>
      <c r="G21" s="225"/>
      <c r="H21" s="225"/>
      <c r="I21" s="225"/>
      <c r="J21" s="225"/>
      <c r="K21" s="225"/>
      <c r="L21" s="225"/>
      <c r="M21" s="225"/>
      <c r="N21" s="225"/>
      <c r="O21" s="225"/>
      <c r="P21" s="225"/>
      <c r="Q21" s="225"/>
      <c r="R21" s="43"/>
    </row>
    <row r="22" spans="1:18" ht="15" customHeight="1" x14ac:dyDescent="0.25">
      <c r="A22" s="34"/>
      <c r="B22" s="230" t="s">
        <v>31</v>
      </c>
      <c r="C22" s="230"/>
      <c r="D22" s="224"/>
      <c r="E22" s="224"/>
      <c r="F22" s="224"/>
      <c r="G22" s="224"/>
      <c r="H22" s="224"/>
      <c r="I22" s="224"/>
      <c r="J22" s="224"/>
      <c r="K22" s="224"/>
      <c r="L22" s="224"/>
      <c r="M22" s="224"/>
      <c r="N22" s="224"/>
      <c r="O22" s="224"/>
      <c r="P22" s="224"/>
      <c r="Q22" s="224"/>
      <c r="R22" s="43"/>
    </row>
    <row r="23" spans="1:18" ht="15" customHeight="1" x14ac:dyDescent="0.25">
      <c r="A23" s="34"/>
      <c r="B23" s="230" t="s">
        <v>8</v>
      </c>
      <c r="C23" s="230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43"/>
    </row>
    <row r="24" spans="1:18" ht="13.5" customHeight="1" x14ac:dyDescent="0.25">
      <c r="A24" s="34"/>
      <c r="B24" s="49"/>
      <c r="C24" s="49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43"/>
    </row>
    <row r="25" spans="1:18" ht="15" customHeight="1" x14ac:dyDescent="0.25">
      <c r="A25" s="34"/>
      <c r="B25" s="230" t="s">
        <v>63</v>
      </c>
      <c r="C25" s="230"/>
      <c r="D25" s="51"/>
      <c r="E25" s="50"/>
      <c r="F25" s="50"/>
      <c r="G25" s="50"/>
      <c r="H25" s="51"/>
      <c r="I25" s="50"/>
      <c r="J25" s="50"/>
      <c r="K25" s="50"/>
      <c r="L25" s="50"/>
      <c r="M25" s="50"/>
      <c r="N25" s="51"/>
      <c r="O25" s="50"/>
      <c r="P25" s="52"/>
      <c r="Q25" s="50"/>
      <c r="R25" s="43"/>
    </row>
    <row r="26" spans="1:18" ht="15" customHeight="1" x14ac:dyDescent="0.25">
      <c r="A26" s="34"/>
      <c r="B26" s="18"/>
      <c r="C26" s="26"/>
      <c r="D26" s="52" t="s">
        <v>64</v>
      </c>
      <c r="E26" s="52"/>
      <c r="F26" s="52"/>
      <c r="G26" s="52"/>
      <c r="H26" s="52" t="s">
        <v>65</v>
      </c>
      <c r="I26" s="52"/>
      <c r="J26" s="52"/>
      <c r="K26" s="52"/>
      <c r="L26" s="52"/>
      <c r="M26" s="52"/>
      <c r="N26" s="52" t="s">
        <v>66</v>
      </c>
      <c r="O26" s="52"/>
      <c r="P26" s="52"/>
      <c r="Q26" s="52"/>
      <c r="R26" s="43"/>
    </row>
    <row r="27" spans="1:18" ht="10.5" customHeight="1" x14ac:dyDescent="0.25">
      <c r="A27" s="34"/>
      <c r="B27" s="45"/>
      <c r="C27" s="45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6"/>
      <c r="Q27" s="26"/>
      <c r="R27" s="43"/>
    </row>
    <row r="28" spans="1:18" x14ac:dyDescent="0.25">
      <c r="A28" s="34"/>
      <c r="B28" s="230" t="s">
        <v>67</v>
      </c>
      <c r="C28" s="230"/>
      <c r="D28" s="51"/>
      <c r="E28" s="50"/>
      <c r="F28" s="51"/>
      <c r="G28" s="50"/>
      <c r="H28" s="51"/>
      <c r="I28" s="50"/>
      <c r="J28" s="51"/>
      <c r="K28" s="50"/>
      <c r="L28" s="51"/>
      <c r="M28" s="50"/>
      <c r="N28" s="51"/>
      <c r="O28" s="50"/>
      <c r="Q28" s="51"/>
      <c r="R28" s="43"/>
    </row>
    <row r="29" spans="1:18" ht="15" customHeight="1" x14ac:dyDescent="0.25">
      <c r="A29" s="34"/>
      <c r="B29" s="18"/>
      <c r="C29" s="26"/>
      <c r="D29" s="16" t="s">
        <v>68</v>
      </c>
      <c r="E29" s="16"/>
      <c r="F29" s="16" t="s">
        <v>69</v>
      </c>
      <c r="G29" s="16"/>
      <c r="H29" s="16" t="s">
        <v>70</v>
      </c>
      <c r="I29" s="16"/>
      <c r="J29" s="16" t="s">
        <v>71</v>
      </c>
      <c r="K29" s="16"/>
      <c r="L29" s="26" t="s">
        <v>72</v>
      </c>
      <c r="M29" s="16"/>
      <c r="N29" s="16" t="s">
        <v>73</v>
      </c>
      <c r="O29" s="16"/>
      <c r="Q29" s="16" t="s">
        <v>74</v>
      </c>
      <c r="R29" s="43"/>
    </row>
    <row r="30" spans="1:18" ht="12" customHeight="1" x14ac:dyDescent="0.25">
      <c r="A30" s="34"/>
      <c r="B30" s="26"/>
      <c r="C30" s="26"/>
      <c r="D30" s="26"/>
      <c r="E30" s="26"/>
      <c r="F30" s="26"/>
      <c r="G30" s="26"/>
      <c r="H30" s="26"/>
      <c r="I30" s="26"/>
      <c r="J30" s="26"/>
      <c r="K30" s="26"/>
      <c r="M30" s="26"/>
      <c r="N30" s="16"/>
      <c r="O30" s="26"/>
      <c r="P30" s="26"/>
      <c r="Q30" s="26"/>
      <c r="R30" s="43"/>
    </row>
    <row r="31" spans="1:18" x14ac:dyDescent="0.25">
      <c r="A31" s="34"/>
      <c r="B31" s="217" t="s">
        <v>75</v>
      </c>
      <c r="C31" s="217"/>
      <c r="D31" s="51"/>
      <c r="E31" s="56"/>
      <c r="F31" s="51"/>
      <c r="G31" s="56"/>
      <c r="H31" s="51"/>
      <c r="I31" s="56"/>
      <c r="J31" s="51"/>
      <c r="K31" s="56"/>
      <c r="L31" s="51"/>
      <c r="M31" s="56"/>
      <c r="N31" s="51"/>
      <c r="O31" s="56"/>
      <c r="P31" s="51"/>
      <c r="Q31" s="56"/>
      <c r="R31" s="43"/>
    </row>
    <row r="32" spans="1:18" ht="12.75" customHeight="1" x14ac:dyDescent="0.25">
      <c r="A32" s="34"/>
      <c r="B32" s="26"/>
      <c r="C32" s="26"/>
      <c r="D32" s="52" t="s">
        <v>76</v>
      </c>
      <c r="E32" s="52"/>
      <c r="F32" s="57" t="s">
        <v>77</v>
      </c>
      <c r="G32" s="52"/>
      <c r="H32" s="57" t="s">
        <v>78</v>
      </c>
      <c r="I32" s="52"/>
      <c r="J32" s="57" t="s">
        <v>79</v>
      </c>
      <c r="K32" s="52"/>
      <c r="L32" s="57" t="s">
        <v>80</v>
      </c>
      <c r="M32" s="52"/>
      <c r="N32" s="57" t="s">
        <v>81</v>
      </c>
      <c r="O32" s="52"/>
      <c r="P32" s="58" t="s">
        <v>82</v>
      </c>
      <c r="Q32" s="26"/>
    </row>
    <row r="33" spans="1:18" ht="12.75" customHeight="1" x14ac:dyDescent="0.25">
      <c r="A33" s="34"/>
      <c r="B33" s="26"/>
      <c r="E33" s="52"/>
      <c r="F33" s="57"/>
      <c r="G33" s="52"/>
      <c r="H33" s="57"/>
      <c r="I33" s="52"/>
      <c r="J33" s="57"/>
      <c r="K33" s="52"/>
      <c r="L33" s="57"/>
      <c r="M33" s="52"/>
      <c r="N33" s="57"/>
      <c r="O33" s="52"/>
      <c r="P33" s="26"/>
      <c r="Q33" s="26"/>
      <c r="R33" s="43"/>
    </row>
    <row r="34" spans="1:18" ht="12.75" customHeight="1" x14ac:dyDescent="0.25">
      <c r="A34" s="34"/>
      <c r="B34" s="230" t="s">
        <v>83</v>
      </c>
      <c r="C34" s="230"/>
      <c r="D34" s="51"/>
      <c r="E34" s="52"/>
      <c r="F34" s="57"/>
      <c r="G34" s="52"/>
      <c r="H34" s="51"/>
      <c r="I34" s="52"/>
      <c r="J34" s="57"/>
      <c r="K34" s="52"/>
      <c r="L34" s="52"/>
      <c r="M34" s="52"/>
      <c r="N34" s="51"/>
      <c r="O34" s="52"/>
      <c r="P34" s="26"/>
      <c r="Q34" s="26"/>
      <c r="R34" s="43"/>
    </row>
    <row r="35" spans="1:18" ht="12.75" customHeight="1" x14ac:dyDescent="0.25">
      <c r="A35" s="34"/>
      <c r="B35" s="26"/>
      <c r="C35" s="26"/>
      <c r="D35" s="57" t="s">
        <v>84</v>
      </c>
      <c r="E35" s="52"/>
      <c r="F35" s="57"/>
      <c r="G35" s="52"/>
      <c r="H35" s="57" t="s">
        <v>85</v>
      </c>
      <c r="I35" s="52"/>
      <c r="J35" s="57"/>
      <c r="K35" s="52"/>
      <c r="L35" s="57"/>
      <c r="M35" s="52"/>
      <c r="N35" s="57" t="s">
        <v>86</v>
      </c>
      <c r="O35" s="52"/>
      <c r="P35" s="26"/>
      <c r="Q35" s="26"/>
      <c r="R35" s="43"/>
    </row>
    <row r="36" spans="1:18" ht="12.75" customHeight="1" x14ac:dyDescent="0.25">
      <c r="A36" s="34"/>
      <c r="B36" s="26"/>
      <c r="C36" s="26"/>
      <c r="D36" s="16"/>
      <c r="E36" s="52"/>
      <c r="F36" s="57"/>
      <c r="G36" s="52"/>
      <c r="H36" s="57"/>
      <c r="I36" s="52"/>
      <c r="J36" s="57"/>
      <c r="K36" s="52"/>
      <c r="L36" s="57"/>
      <c r="M36" s="52"/>
      <c r="N36" s="57"/>
      <c r="O36" s="52"/>
      <c r="P36" s="26"/>
      <c r="Q36" s="26"/>
      <c r="R36" s="43"/>
    </row>
    <row r="37" spans="1:18" ht="12.75" customHeight="1" x14ac:dyDescent="0.25">
      <c r="A37" s="34"/>
      <c r="B37" s="230" t="s">
        <v>87</v>
      </c>
      <c r="C37" s="230"/>
      <c r="D37" s="230"/>
      <c r="E37" s="230"/>
      <c r="F37" s="230"/>
      <c r="G37" s="52"/>
      <c r="H37" s="51"/>
      <c r="I37" s="52"/>
      <c r="J37" s="57"/>
      <c r="K37" s="51"/>
      <c r="L37" s="52"/>
      <c r="M37" s="57"/>
      <c r="N37" s="51"/>
      <c r="Q37" s="26"/>
      <c r="R37" s="43"/>
    </row>
    <row r="38" spans="1:18" ht="12.75" customHeight="1" x14ac:dyDescent="0.25">
      <c r="A38" s="34"/>
      <c r="B38" s="26"/>
      <c r="C38" s="26"/>
      <c r="D38" s="16"/>
      <c r="E38" s="52"/>
      <c r="F38" s="57"/>
      <c r="G38" s="52"/>
      <c r="H38" s="59" t="s">
        <v>88</v>
      </c>
      <c r="I38" s="52"/>
      <c r="J38" s="57"/>
      <c r="K38" s="59" t="s">
        <v>89</v>
      </c>
      <c r="L38" s="52"/>
      <c r="M38" s="57"/>
      <c r="N38" s="59" t="s">
        <v>90</v>
      </c>
      <c r="Q38" s="26"/>
      <c r="R38" s="43"/>
    </row>
    <row r="39" spans="1:18" ht="12" customHeight="1" x14ac:dyDescent="0.25">
      <c r="A39" s="34"/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43"/>
    </row>
    <row r="40" spans="1:18" ht="15" customHeight="1" x14ac:dyDescent="0.25">
      <c r="A40" s="34"/>
      <c r="B40" s="230" t="s">
        <v>67</v>
      </c>
      <c r="C40" s="230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</row>
    <row r="41" spans="1:18" ht="15" customHeight="1" x14ac:dyDescent="0.25">
      <c r="A41" s="34"/>
      <c r="B41" s="231"/>
      <c r="C41" s="231"/>
      <c r="D41" s="231"/>
      <c r="E41" s="231"/>
      <c r="F41" s="231"/>
      <c r="G41" s="231"/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</row>
    <row r="42" spans="1:18" ht="15" customHeight="1" x14ac:dyDescent="0.25">
      <c r="A42" s="34"/>
      <c r="B42" s="231"/>
      <c r="C42" s="231"/>
      <c r="D42" s="231"/>
      <c r="E42" s="231"/>
      <c r="F42" s="231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</row>
    <row r="43" spans="1:18" ht="15" customHeight="1" x14ac:dyDescent="0.25">
      <c r="A43" s="34"/>
      <c r="B43" s="231"/>
      <c r="C43" s="231"/>
      <c r="D43" s="231"/>
      <c r="E43" s="231"/>
      <c r="F43" s="231"/>
      <c r="G43" s="231"/>
      <c r="H43" s="231"/>
      <c r="I43" s="231"/>
      <c r="J43" s="231"/>
      <c r="K43" s="231"/>
      <c r="L43" s="231"/>
      <c r="M43" s="231"/>
      <c r="N43" s="231"/>
      <c r="O43" s="231"/>
      <c r="P43" s="231"/>
      <c r="Q43" s="231"/>
      <c r="R43" s="231"/>
    </row>
    <row r="44" spans="1:18" ht="15" customHeight="1" x14ac:dyDescent="0.25">
      <c r="A44" s="34"/>
      <c r="B44" s="231"/>
      <c r="C44" s="231"/>
      <c r="D44" s="231"/>
      <c r="E44" s="231"/>
      <c r="F44" s="231"/>
      <c r="G44" s="231"/>
      <c r="H44" s="231"/>
      <c r="I44" s="231"/>
      <c r="J44" s="231"/>
      <c r="K44" s="231"/>
      <c r="L44" s="231"/>
      <c r="M44" s="231"/>
      <c r="N44" s="231"/>
      <c r="O44" s="231"/>
      <c r="P44" s="231"/>
      <c r="Q44" s="231"/>
      <c r="R44" s="231"/>
    </row>
    <row r="45" spans="1:18" ht="15" customHeight="1" x14ac:dyDescent="0.25">
      <c r="A45" s="34"/>
      <c r="B45" s="231"/>
      <c r="C45" s="231"/>
      <c r="D45" s="231"/>
      <c r="E45" s="231"/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</row>
    <row r="46" spans="1:18" ht="15" customHeight="1" x14ac:dyDescent="0.25">
      <c r="A46" s="34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32"/>
    </row>
    <row r="47" spans="1:18" ht="17.25" customHeight="1" x14ac:dyDescent="0.25">
      <c r="A47" s="233" t="s">
        <v>36</v>
      </c>
      <c r="B47" s="233"/>
      <c r="C47" s="233"/>
      <c r="D47" s="234" t="s">
        <v>37</v>
      </c>
      <c r="E47" s="234"/>
      <c r="F47" s="234"/>
      <c r="G47" s="234"/>
      <c r="H47" s="234"/>
      <c r="I47" s="234"/>
      <c r="J47" s="235" t="s">
        <v>38</v>
      </c>
      <c r="K47" s="235"/>
      <c r="L47" s="235"/>
      <c r="M47" s="235"/>
      <c r="N47" s="235"/>
      <c r="O47" s="235"/>
      <c r="P47" s="235"/>
      <c r="Q47" s="235"/>
      <c r="R47" s="235"/>
    </row>
    <row r="48" spans="1:18" ht="20.100000000000001" customHeight="1" x14ac:dyDescent="0.25">
      <c r="A48" s="240"/>
      <c r="B48" s="240"/>
      <c r="C48" s="240"/>
      <c r="D48" s="241" t="s">
        <v>91</v>
      </c>
      <c r="E48" s="241"/>
      <c r="F48" s="241"/>
      <c r="G48" s="241"/>
      <c r="H48" s="241"/>
      <c r="I48" s="241"/>
      <c r="J48" s="242" t="s">
        <v>92</v>
      </c>
      <c r="K48" s="242"/>
      <c r="L48" s="242"/>
      <c r="M48" s="242"/>
      <c r="N48" s="242"/>
      <c r="O48" s="242"/>
      <c r="P48" s="242"/>
      <c r="Q48" s="242"/>
      <c r="R48" s="242"/>
    </row>
    <row r="49" spans="1:18" ht="20.100000000000001" customHeight="1" x14ac:dyDescent="0.25">
      <c r="A49" s="237"/>
      <c r="B49" s="237"/>
      <c r="C49" s="237"/>
      <c r="D49" s="238"/>
      <c r="E49" s="238"/>
      <c r="F49" s="238"/>
      <c r="G49" s="238"/>
      <c r="H49" s="238"/>
      <c r="I49" s="238"/>
      <c r="J49" s="239"/>
      <c r="K49" s="239"/>
      <c r="L49" s="239"/>
      <c r="M49" s="239"/>
      <c r="N49" s="239"/>
      <c r="O49" s="239"/>
      <c r="P49" s="239"/>
      <c r="Q49" s="239"/>
      <c r="R49" s="239"/>
    </row>
    <row r="50" spans="1:18" ht="20.100000000000001" customHeight="1" x14ac:dyDescent="0.25">
      <c r="A50" s="237"/>
      <c r="B50" s="237"/>
      <c r="C50" s="237"/>
      <c r="D50" s="238"/>
      <c r="E50" s="238"/>
      <c r="F50" s="238"/>
      <c r="G50" s="238"/>
      <c r="H50" s="238"/>
      <c r="I50" s="238"/>
      <c r="J50" s="239"/>
      <c r="K50" s="239"/>
      <c r="L50" s="239"/>
      <c r="M50" s="239"/>
      <c r="N50" s="239"/>
      <c r="O50" s="239"/>
      <c r="P50" s="239"/>
      <c r="Q50" s="239"/>
      <c r="R50" s="239"/>
    </row>
    <row r="51" spans="1:18" ht="20.100000000000001" customHeight="1" x14ac:dyDescent="0.25">
      <c r="A51" s="237"/>
      <c r="B51" s="237"/>
      <c r="C51" s="237"/>
      <c r="D51" s="238"/>
      <c r="E51" s="238"/>
      <c r="F51" s="238"/>
      <c r="G51" s="238"/>
      <c r="H51" s="238"/>
      <c r="I51" s="238"/>
      <c r="J51" s="239"/>
      <c r="K51" s="239"/>
      <c r="L51" s="239"/>
      <c r="M51" s="239"/>
      <c r="N51" s="239"/>
      <c r="O51" s="239"/>
      <c r="P51" s="239"/>
      <c r="Q51" s="239"/>
      <c r="R51" s="239"/>
    </row>
    <row r="52" spans="1:18" ht="20.100000000000001" customHeight="1" x14ac:dyDescent="0.25">
      <c r="A52" s="237"/>
      <c r="B52" s="237"/>
      <c r="C52" s="237"/>
      <c r="D52" s="238"/>
      <c r="E52" s="238"/>
      <c r="F52" s="238"/>
      <c r="G52" s="238"/>
      <c r="H52" s="238"/>
      <c r="I52" s="238"/>
      <c r="J52" s="239"/>
      <c r="K52" s="239"/>
      <c r="L52" s="239"/>
      <c r="M52" s="239"/>
      <c r="N52" s="239"/>
      <c r="O52" s="239"/>
      <c r="P52" s="239"/>
      <c r="Q52" s="239"/>
      <c r="R52" s="239"/>
    </row>
    <row r="53" spans="1:18" ht="18.75" customHeight="1" x14ac:dyDescent="0.25">
      <c r="A53" s="237"/>
      <c r="B53" s="237"/>
      <c r="C53" s="237"/>
      <c r="D53" s="238"/>
      <c r="E53" s="238"/>
      <c r="F53" s="238"/>
      <c r="G53" s="238"/>
      <c r="H53" s="238"/>
      <c r="I53" s="238"/>
      <c r="J53" s="239"/>
      <c r="K53" s="239"/>
      <c r="L53" s="239"/>
      <c r="M53" s="239"/>
      <c r="N53" s="239"/>
      <c r="O53" s="239"/>
      <c r="P53" s="239"/>
      <c r="Q53" s="239"/>
      <c r="R53" s="239"/>
    </row>
    <row r="54" spans="1:18" ht="18.75" customHeight="1" x14ac:dyDescent="0.25">
      <c r="A54" s="240"/>
      <c r="B54" s="240"/>
      <c r="C54" s="240"/>
      <c r="D54" s="206"/>
      <c r="E54" s="206"/>
      <c r="F54" s="206"/>
      <c r="G54" s="206"/>
      <c r="H54" s="206"/>
      <c r="I54" s="206"/>
      <c r="J54" s="243"/>
      <c r="K54" s="243"/>
      <c r="L54" s="243"/>
      <c r="M54" s="243"/>
      <c r="N54" s="243"/>
      <c r="O54" s="243"/>
      <c r="P54" s="243"/>
      <c r="Q54" s="243"/>
      <c r="R54" s="243"/>
    </row>
    <row r="55" spans="1:18" ht="27.75" customHeight="1" x14ac:dyDescent="0.25">
      <c r="A55" s="61"/>
      <c r="B55" s="244" t="s">
        <v>39</v>
      </c>
      <c r="C55" s="244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3" t="s">
        <v>40</v>
      </c>
      <c r="P55" s="63"/>
      <c r="Q55" s="64"/>
      <c r="R55" s="65"/>
    </row>
    <row r="56" spans="1:18" ht="15" customHeight="1" x14ac:dyDescent="0.25">
      <c r="A56" s="31"/>
      <c r="B56" s="245" t="s">
        <v>20</v>
      </c>
      <c r="C56" s="245"/>
      <c r="D56" s="246">
        <f>D5</f>
        <v>0</v>
      </c>
      <c r="E56" s="246"/>
      <c r="F56" s="246"/>
      <c r="G56" s="246"/>
      <c r="H56" s="246"/>
      <c r="I56" s="246"/>
      <c r="J56" s="246"/>
      <c r="K56" s="246"/>
      <c r="L56" s="246"/>
      <c r="M56" s="246"/>
      <c r="N56" s="246"/>
      <c r="O56" s="66"/>
      <c r="P56" s="247" t="s">
        <v>18</v>
      </c>
      <c r="Q56" s="247"/>
      <c r="R56" s="67">
        <f ca="1">TODAY()</f>
        <v>46313</v>
      </c>
    </row>
    <row r="57" spans="1:18" ht="16.5" customHeight="1" x14ac:dyDescent="0.25">
      <c r="A57" s="34"/>
      <c r="B57" s="248" t="s">
        <v>1</v>
      </c>
      <c r="C57" s="248"/>
      <c r="D57" s="249" t="str">
        <f t="shared" ref="D57:D60" si="0">D14</f>
        <v/>
      </c>
      <c r="E57" s="249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43"/>
    </row>
    <row r="58" spans="1:18" ht="16.5" customHeight="1" x14ac:dyDescent="0.25">
      <c r="A58" s="34"/>
      <c r="B58" s="253" t="s">
        <v>5</v>
      </c>
      <c r="C58" s="253"/>
      <c r="D58" s="249">
        <f t="shared" si="0"/>
        <v>0</v>
      </c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43"/>
    </row>
    <row r="59" spans="1:18" ht="16.5" customHeight="1" x14ac:dyDescent="0.25">
      <c r="A59" s="34"/>
      <c r="B59" s="253" t="s">
        <v>6</v>
      </c>
      <c r="C59" s="253"/>
      <c r="D59" s="249">
        <f t="shared" si="0"/>
        <v>0</v>
      </c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43"/>
    </row>
    <row r="60" spans="1:18" ht="16.5" customHeight="1" x14ac:dyDescent="0.25">
      <c r="A60" s="34"/>
      <c r="B60" s="248" t="s">
        <v>7</v>
      </c>
      <c r="C60" s="248"/>
      <c r="D60" s="249">
        <f t="shared" si="0"/>
        <v>0</v>
      </c>
      <c r="E60" s="249"/>
      <c r="F60" s="249"/>
      <c r="G60" s="249"/>
      <c r="H60" s="249"/>
      <c r="I60" s="249"/>
      <c r="J60" s="249"/>
      <c r="K60" s="249"/>
      <c r="L60" s="249"/>
      <c r="M60" s="249"/>
      <c r="N60" s="249"/>
      <c r="O60" s="249"/>
      <c r="P60" s="249"/>
      <c r="Q60" s="249"/>
      <c r="R60" s="43"/>
    </row>
    <row r="61" spans="1:18" ht="9" customHeight="1" x14ac:dyDescent="0.25">
      <c r="A61" s="34"/>
      <c r="B61" s="68"/>
      <c r="C61" s="68"/>
      <c r="D61" s="69"/>
      <c r="E61" s="69"/>
      <c r="F61" s="69"/>
      <c r="G61" s="69"/>
      <c r="H61" s="69"/>
      <c r="I61" s="69"/>
      <c r="J61" s="69"/>
      <c r="K61" s="69"/>
      <c r="L61" s="69"/>
      <c r="M61" s="69"/>
      <c r="N61" s="69"/>
      <c r="O61" s="69"/>
      <c r="P61" s="69"/>
      <c r="Q61" s="69"/>
      <c r="R61" s="43"/>
    </row>
    <row r="62" spans="1:18" ht="17.25" customHeight="1" x14ac:dyDescent="0.25">
      <c r="A62" s="250" t="s">
        <v>36</v>
      </c>
      <c r="B62" s="250"/>
      <c r="C62" s="250"/>
      <c r="D62" s="251" t="s">
        <v>37</v>
      </c>
      <c r="E62" s="251"/>
      <c r="F62" s="251"/>
      <c r="G62" s="251"/>
      <c r="H62" s="251"/>
      <c r="I62" s="251"/>
      <c r="J62" s="252" t="s">
        <v>38</v>
      </c>
      <c r="K62" s="252"/>
      <c r="L62" s="252"/>
      <c r="M62" s="252"/>
      <c r="N62" s="252"/>
      <c r="O62" s="252"/>
      <c r="P62" s="252"/>
      <c r="Q62" s="252"/>
      <c r="R62" s="252"/>
    </row>
    <row r="63" spans="1:18" ht="29.25" customHeight="1" x14ac:dyDescent="0.25">
      <c r="A63" s="240"/>
      <c r="B63" s="240"/>
      <c r="C63" s="240"/>
      <c r="D63" s="238"/>
      <c r="E63" s="238"/>
      <c r="F63" s="238"/>
      <c r="G63" s="238"/>
      <c r="H63" s="238"/>
      <c r="I63" s="238"/>
      <c r="J63" s="239"/>
      <c r="K63" s="239"/>
      <c r="L63" s="239"/>
      <c r="M63" s="239"/>
      <c r="N63" s="239"/>
      <c r="O63" s="239"/>
      <c r="P63" s="239"/>
      <c r="Q63" s="239"/>
      <c r="R63" s="239"/>
    </row>
    <row r="64" spans="1:18" ht="29.25" customHeight="1" x14ac:dyDescent="0.25">
      <c r="A64" s="237"/>
      <c r="B64" s="237"/>
      <c r="C64" s="237"/>
      <c r="D64" s="238"/>
      <c r="E64" s="238"/>
      <c r="F64" s="238"/>
      <c r="G64" s="238"/>
      <c r="H64" s="238"/>
      <c r="I64" s="238"/>
      <c r="J64" s="239"/>
      <c r="K64" s="239"/>
      <c r="L64" s="239"/>
      <c r="M64" s="239"/>
      <c r="N64" s="239"/>
      <c r="O64" s="239"/>
      <c r="P64" s="239"/>
      <c r="Q64" s="239"/>
      <c r="R64" s="239"/>
    </row>
    <row r="65" spans="1:18" ht="29.25" customHeight="1" x14ac:dyDescent="0.25">
      <c r="A65" s="237"/>
      <c r="B65" s="237"/>
      <c r="C65" s="237"/>
      <c r="D65" s="238"/>
      <c r="E65" s="238"/>
      <c r="F65" s="238"/>
      <c r="G65" s="238"/>
      <c r="H65" s="238"/>
      <c r="I65" s="238"/>
      <c r="J65" s="239"/>
      <c r="K65" s="239"/>
      <c r="L65" s="239"/>
      <c r="M65" s="239"/>
      <c r="N65" s="239"/>
      <c r="O65" s="239"/>
      <c r="P65" s="239"/>
      <c r="Q65" s="239"/>
      <c r="R65" s="239"/>
    </row>
    <row r="66" spans="1:18" ht="29.25" customHeight="1" x14ac:dyDescent="0.25">
      <c r="A66" s="237"/>
      <c r="B66" s="237"/>
      <c r="C66" s="237"/>
      <c r="D66" s="238"/>
      <c r="E66" s="238"/>
      <c r="F66" s="238"/>
      <c r="G66" s="238"/>
      <c r="H66" s="238"/>
      <c r="I66" s="238"/>
      <c r="J66" s="239"/>
      <c r="K66" s="239"/>
      <c r="L66" s="239"/>
      <c r="M66" s="239"/>
      <c r="N66" s="239"/>
      <c r="O66" s="239"/>
      <c r="P66" s="239"/>
      <c r="Q66" s="239"/>
      <c r="R66" s="239"/>
    </row>
    <row r="67" spans="1:18" ht="29.25" customHeight="1" x14ac:dyDescent="0.25">
      <c r="A67" s="237"/>
      <c r="B67" s="237"/>
      <c r="C67" s="237"/>
      <c r="D67" s="238"/>
      <c r="E67" s="238"/>
      <c r="F67" s="238"/>
      <c r="G67" s="238"/>
      <c r="H67" s="238"/>
      <c r="I67" s="238"/>
      <c r="J67" s="239"/>
      <c r="K67" s="239"/>
      <c r="L67" s="239"/>
      <c r="M67" s="239"/>
      <c r="N67" s="239"/>
      <c r="O67" s="239"/>
      <c r="P67" s="239"/>
      <c r="Q67" s="239"/>
      <c r="R67" s="239"/>
    </row>
    <row r="68" spans="1:18" ht="29.25" customHeight="1" x14ac:dyDescent="0.25">
      <c r="A68" s="237"/>
      <c r="B68" s="237"/>
      <c r="C68" s="237"/>
      <c r="D68" s="238"/>
      <c r="E68" s="238"/>
      <c r="F68" s="238"/>
      <c r="G68" s="238"/>
      <c r="H68" s="238"/>
      <c r="I68" s="238"/>
      <c r="J68" s="239"/>
      <c r="K68" s="239"/>
      <c r="L68" s="239"/>
      <c r="M68" s="239"/>
      <c r="N68" s="239"/>
      <c r="O68" s="239"/>
      <c r="P68" s="239"/>
      <c r="Q68" s="239"/>
      <c r="R68" s="239"/>
    </row>
    <row r="69" spans="1:18" ht="29.25" customHeight="1" x14ac:dyDescent="0.25">
      <c r="A69" s="237"/>
      <c r="B69" s="237"/>
      <c r="C69" s="237"/>
      <c r="D69" s="238"/>
      <c r="E69" s="238"/>
      <c r="F69" s="238"/>
      <c r="G69" s="238"/>
      <c r="H69" s="238"/>
      <c r="I69" s="238"/>
      <c r="J69" s="239"/>
      <c r="K69" s="239"/>
      <c r="L69" s="239"/>
      <c r="M69" s="239"/>
      <c r="N69" s="239"/>
      <c r="O69" s="239"/>
      <c r="P69" s="239"/>
      <c r="Q69" s="239"/>
      <c r="R69" s="239"/>
    </row>
    <row r="70" spans="1:18" ht="29.25" customHeight="1" x14ac:dyDescent="0.25">
      <c r="A70" s="237"/>
      <c r="B70" s="237"/>
      <c r="C70" s="237"/>
      <c r="D70" s="238"/>
      <c r="E70" s="238"/>
      <c r="F70" s="238"/>
      <c r="G70" s="238"/>
      <c r="H70" s="238"/>
      <c r="I70" s="238"/>
      <c r="J70" s="239"/>
      <c r="K70" s="239"/>
      <c r="L70" s="239"/>
      <c r="M70" s="239"/>
      <c r="N70" s="239"/>
      <c r="O70" s="239"/>
      <c r="P70" s="239"/>
      <c r="Q70" s="239"/>
      <c r="R70" s="239"/>
    </row>
    <row r="71" spans="1:18" ht="29.25" customHeight="1" x14ac:dyDescent="0.25">
      <c r="A71" s="237"/>
      <c r="B71" s="237"/>
      <c r="C71" s="237"/>
      <c r="D71" s="238"/>
      <c r="E71" s="238"/>
      <c r="F71" s="238"/>
      <c r="G71" s="238"/>
      <c r="H71" s="238"/>
      <c r="I71" s="238"/>
      <c r="J71" s="239"/>
      <c r="K71" s="239"/>
      <c r="L71" s="239"/>
      <c r="M71" s="239"/>
      <c r="N71" s="239"/>
      <c r="O71" s="239"/>
      <c r="P71" s="239"/>
      <c r="Q71" s="239"/>
      <c r="R71" s="239"/>
    </row>
    <row r="72" spans="1:18" ht="29.25" customHeight="1" x14ac:dyDescent="0.25">
      <c r="A72" s="237"/>
      <c r="B72" s="237"/>
      <c r="C72" s="237"/>
      <c r="D72" s="238"/>
      <c r="E72" s="238"/>
      <c r="F72" s="238"/>
      <c r="G72" s="238"/>
      <c r="H72" s="238"/>
      <c r="I72" s="238"/>
      <c r="J72" s="239"/>
      <c r="K72" s="239"/>
      <c r="L72" s="239"/>
      <c r="M72" s="239"/>
      <c r="N72" s="239"/>
      <c r="O72" s="239"/>
      <c r="P72" s="239"/>
      <c r="Q72" s="239"/>
      <c r="R72" s="239"/>
    </row>
    <row r="73" spans="1:18" ht="29.25" customHeight="1" x14ac:dyDescent="0.25">
      <c r="A73" s="237"/>
      <c r="B73" s="237"/>
      <c r="C73" s="237"/>
      <c r="D73" s="238"/>
      <c r="E73" s="238"/>
      <c r="F73" s="238"/>
      <c r="G73" s="238"/>
      <c r="H73" s="238"/>
      <c r="I73" s="238"/>
      <c r="J73" s="239"/>
      <c r="K73" s="239"/>
      <c r="L73" s="239"/>
      <c r="M73" s="239"/>
      <c r="N73" s="239"/>
      <c r="O73" s="239"/>
      <c r="P73" s="239"/>
      <c r="Q73" s="239"/>
      <c r="R73" s="239"/>
    </row>
    <row r="74" spans="1:18" ht="29.25" customHeight="1" x14ac:dyDescent="0.25">
      <c r="A74" s="237"/>
      <c r="B74" s="237"/>
      <c r="C74" s="237"/>
      <c r="D74" s="238"/>
      <c r="E74" s="238"/>
      <c r="F74" s="238"/>
      <c r="G74" s="238"/>
      <c r="H74" s="238"/>
      <c r="I74" s="238"/>
      <c r="J74" s="239"/>
      <c r="K74" s="239"/>
      <c r="L74" s="239"/>
      <c r="M74" s="239"/>
      <c r="N74" s="239"/>
      <c r="O74" s="239"/>
      <c r="P74" s="239"/>
      <c r="Q74" s="239"/>
      <c r="R74" s="239"/>
    </row>
    <row r="75" spans="1:18" ht="29.25" customHeight="1" x14ac:dyDescent="0.25">
      <c r="A75" s="237"/>
      <c r="B75" s="237"/>
      <c r="C75" s="237"/>
      <c r="D75" s="238"/>
      <c r="E75" s="238"/>
      <c r="F75" s="238"/>
      <c r="G75" s="238"/>
      <c r="H75" s="238"/>
      <c r="I75" s="238"/>
      <c r="J75" s="239"/>
      <c r="K75" s="239"/>
      <c r="L75" s="239"/>
      <c r="M75" s="239"/>
      <c r="N75" s="239"/>
      <c r="O75" s="239"/>
      <c r="P75" s="239"/>
      <c r="Q75" s="239"/>
      <c r="R75" s="239"/>
    </row>
    <row r="76" spans="1:18" ht="29.25" customHeight="1" x14ac:dyDescent="0.25">
      <c r="A76" s="240"/>
      <c r="B76" s="240"/>
      <c r="C76" s="240"/>
      <c r="D76" s="206"/>
      <c r="E76" s="206"/>
      <c r="F76" s="206"/>
      <c r="G76" s="206"/>
      <c r="H76" s="206"/>
      <c r="I76" s="206"/>
      <c r="J76" s="243"/>
      <c r="K76" s="243"/>
      <c r="L76" s="243"/>
      <c r="M76" s="243"/>
      <c r="N76" s="243"/>
      <c r="O76" s="243"/>
      <c r="P76" s="243"/>
      <c r="Q76" s="243"/>
      <c r="R76" s="243"/>
    </row>
    <row r="77" spans="1:18" ht="29.25" customHeight="1" x14ac:dyDescent="0.25">
      <c r="A77" s="237"/>
      <c r="B77" s="237"/>
      <c r="C77" s="237"/>
      <c r="D77" s="238"/>
      <c r="E77" s="238"/>
      <c r="F77" s="238"/>
      <c r="G77" s="238"/>
      <c r="H77" s="238"/>
      <c r="I77" s="238"/>
      <c r="J77" s="239"/>
      <c r="K77" s="239"/>
      <c r="L77" s="239"/>
      <c r="M77" s="239"/>
      <c r="N77" s="239"/>
      <c r="O77" s="239"/>
      <c r="P77" s="239"/>
      <c r="Q77" s="239"/>
      <c r="R77" s="239"/>
    </row>
    <row r="78" spans="1:18" ht="29.25" customHeight="1" x14ac:dyDescent="0.25">
      <c r="A78" s="237"/>
      <c r="B78" s="237"/>
      <c r="C78" s="237"/>
      <c r="D78" s="238"/>
      <c r="E78" s="238"/>
      <c r="F78" s="238"/>
      <c r="G78" s="238"/>
      <c r="H78" s="238"/>
      <c r="I78" s="238"/>
      <c r="J78" s="239"/>
      <c r="K78" s="239"/>
      <c r="L78" s="239"/>
      <c r="M78" s="239"/>
      <c r="N78" s="239"/>
      <c r="O78" s="239"/>
      <c r="P78" s="239"/>
      <c r="Q78" s="239"/>
      <c r="R78" s="239"/>
    </row>
    <row r="79" spans="1:18" ht="29.25" customHeight="1" x14ac:dyDescent="0.25">
      <c r="A79" s="237"/>
      <c r="B79" s="237"/>
      <c r="C79" s="237"/>
      <c r="D79" s="238"/>
      <c r="E79" s="238"/>
      <c r="F79" s="238"/>
      <c r="G79" s="238"/>
      <c r="H79" s="238"/>
      <c r="I79" s="238"/>
      <c r="J79" s="239"/>
      <c r="K79" s="239"/>
      <c r="L79" s="239"/>
      <c r="M79" s="239"/>
      <c r="N79" s="239"/>
      <c r="O79" s="239"/>
      <c r="P79" s="239"/>
      <c r="Q79" s="239"/>
      <c r="R79" s="239"/>
    </row>
    <row r="80" spans="1:18" ht="29.25" customHeight="1" x14ac:dyDescent="0.25">
      <c r="A80" s="237"/>
      <c r="B80" s="237"/>
      <c r="C80" s="237"/>
      <c r="D80" s="238"/>
      <c r="E80" s="238"/>
      <c r="F80" s="238"/>
      <c r="G80" s="238"/>
      <c r="H80" s="238"/>
      <c r="I80" s="238"/>
      <c r="J80" s="239"/>
      <c r="K80" s="239"/>
      <c r="L80" s="239"/>
      <c r="M80" s="239"/>
      <c r="N80" s="239"/>
      <c r="O80" s="239"/>
      <c r="P80" s="239"/>
      <c r="Q80" s="239"/>
      <c r="R80" s="239"/>
    </row>
    <row r="81" spans="1:18" ht="29.25" customHeight="1" x14ac:dyDescent="0.25">
      <c r="A81" s="237"/>
      <c r="B81" s="237"/>
      <c r="C81" s="237"/>
      <c r="D81" s="238"/>
      <c r="E81" s="238"/>
      <c r="F81" s="238"/>
      <c r="G81" s="238"/>
      <c r="H81" s="238"/>
      <c r="I81" s="238"/>
      <c r="J81" s="239"/>
      <c r="K81" s="239"/>
      <c r="L81" s="239"/>
      <c r="M81" s="239"/>
      <c r="N81" s="239"/>
      <c r="O81" s="239"/>
      <c r="P81" s="239"/>
      <c r="Q81" s="239"/>
      <c r="R81" s="239"/>
    </row>
    <row r="82" spans="1:18" ht="29.25" customHeight="1" x14ac:dyDescent="0.25">
      <c r="A82" s="237"/>
      <c r="B82" s="237"/>
      <c r="C82" s="237"/>
      <c r="D82" s="238"/>
      <c r="E82" s="238"/>
      <c r="F82" s="238"/>
      <c r="G82" s="238"/>
      <c r="H82" s="238"/>
      <c r="I82" s="238"/>
      <c r="J82" s="239"/>
      <c r="K82" s="239"/>
      <c r="L82" s="239"/>
      <c r="M82" s="239"/>
      <c r="N82" s="239"/>
      <c r="O82" s="239"/>
      <c r="P82" s="239"/>
      <c r="Q82" s="239"/>
      <c r="R82" s="239"/>
    </row>
    <row r="83" spans="1:18" ht="29.25" customHeight="1" x14ac:dyDescent="0.25">
      <c r="A83" s="240"/>
      <c r="B83" s="240"/>
      <c r="C83" s="240"/>
      <c r="D83" s="206"/>
      <c r="E83" s="206"/>
      <c r="F83" s="206"/>
      <c r="G83" s="206"/>
      <c r="H83" s="206"/>
      <c r="I83" s="206"/>
      <c r="J83" s="243"/>
      <c r="K83" s="243"/>
      <c r="L83" s="243"/>
      <c r="M83" s="243"/>
      <c r="N83" s="243"/>
      <c r="O83" s="243"/>
      <c r="P83" s="243"/>
      <c r="Q83" s="243"/>
      <c r="R83" s="243"/>
    </row>
    <row r="84" spans="1:18" ht="29.25" customHeight="1" x14ac:dyDescent="0.25">
      <c r="A84" s="237"/>
      <c r="B84" s="237"/>
      <c r="C84" s="237"/>
      <c r="D84" s="238"/>
      <c r="E84" s="238"/>
      <c r="F84" s="238"/>
      <c r="G84" s="238"/>
      <c r="H84" s="238"/>
      <c r="I84" s="238"/>
      <c r="J84" s="239"/>
      <c r="K84" s="239"/>
      <c r="L84" s="239"/>
      <c r="M84" s="239"/>
      <c r="N84" s="239"/>
      <c r="O84" s="239"/>
      <c r="P84" s="239"/>
      <c r="Q84" s="239"/>
      <c r="R84" s="239"/>
    </row>
    <row r="85" spans="1:18" ht="29.25" customHeight="1" x14ac:dyDescent="0.25">
      <c r="A85" s="237"/>
      <c r="B85" s="237"/>
      <c r="C85" s="237"/>
      <c r="D85" s="238"/>
      <c r="E85" s="238"/>
      <c r="F85" s="238"/>
      <c r="G85" s="238"/>
      <c r="H85" s="238"/>
      <c r="I85" s="238"/>
      <c r="J85" s="239"/>
      <c r="K85" s="239"/>
      <c r="L85" s="239"/>
      <c r="M85" s="239"/>
      <c r="N85" s="239"/>
      <c r="O85" s="239"/>
      <c r="P85" s="239"/>
      <c r="Q85" s="239"/>
      <c r="R85" s="239"/>
    </row>
    <row r="86" spans="1:18" ht="29.25" customHeight="1" x14ac:dyDescent="0.25">
      <c r="A86" s="237"/>
      <c r="B86" s="237"/>
      <c r="C86" s="237"/>
      <c r="D86" s="238"/>
      <c r="E86" s="238"/>
      <c r="F86" s="238"/>
      <c r="G86" s="238"/>
      <c r="H86" s="238"/>
      <c r="I86" s="238"/>
      <c r="J86" s="239"/>
      <c r="K86" s="239"/>
      <c r="L86" s="239"/>
      <c r="M86" s="239"/>
      <c r="N86" s="239"/>
      <c r="O86" s="239"/>
      <c r="P86" s="239"/>
      <c r="Q86" s="239"/>
      <c r="R86" s="239"/>
    </row>
    <row r="87" spans="1:18" ht="26.25" customHeight="1" x14ac:dyDescent="0.25">
      <c r="A87" s="237"/>
      <c r="B87" s="237"/>
      <c r="C87" s="237"/>
      <c r="D87" s="238"/>
      <c r="E87" s="238"/>
      <c r="F87" s="238"/>
      <c r="G87" s="238"/>
      <c r="H87" s="238"/>
      <c r="I87" s="238"/>
      <c r="J87" s="239"/>
      <c r="K87" s="239"/>
      <c r="L87" s="239"/>
      <c r="M87" s="239"/>
      <c r="N87" s="239"/>
      <c r="O87" s="239"/>
      <c r="P87" s="239"/>
      <c r="Q87" s="239"/>
      <c r="R87" s="239"/>
    </row>
  </sheetData>
  <sheetProtection selectLockedCells="1" selectUnlockedCells="1"/>
  <mergeCells count="163">
    <mergeCell ref="A86:C86"/>
    <mergeCell ref="D86:I86"/>
    <mergeCell ref="J86:R86"/>
    <mergeCell ref="A87:C87"/>
    <mergeCell ref="D87:I87"/>
    <mergeCell ref="J87:R87"/>
    <mergeCell ref="A84:C84"/>
    <mergeCell ref="D84:I84"/>
    <mergeCell ref="J84:R84"/>
    <mergeCell ref="A85:C85"/>
    <mergeCell ref="D85:I85"/>
    <mergeCell ref="J85:R85"/>
    <mergeCell ref="A82:C82"/>
    <mergeCell ref="D82:I82"/>
    <mergeCell ref="J82:R82"/>
    <mergeCell ref="A83:C83"/>
    <mergeCell ref="D83:I83"/>
    <mergeCell ref="J83:R83"/>
    <mergeCell ref="A80:C80"/>
    <mergeCell ref="D80:I80"/>
    <mergeCell ref="J80:R80"/>
    <mergeCell ref="A81:C81"/>
    <mergeCell ref="D81:I81"/>
    <mergeCell ref="J81:R81"/>
    <mergeCell ref="A78:C78"/>
    <mergeCell ref="D78:I78"/>
    <mergeCell ref="J78:R78"/>
    <mergeCell ref="A79:C79"/>
    <mergeCell ref="D79:I79"/>
    <mergeCell ref="J79:R79"/>
    <mergeCell ref="A76:C76"/>
    <mergeCell ref="D76:I76"/>
    <mergeCell ref="J76:R76"/>
    <mergeCell ref="A77:C77"/>
    <mergeCell ref="D77:I77"/>
    <mergeCell ref="J77:R77"/>
    <mergeCell ref="A74:C74"/>
    <mergeCell ref="D74:I74"/>
    <mergeCell ref="J74:R74"/>
    <mergeCell ref="A75:C75"/>
    <mergeCell ref="D75:I75"/>
    <mergeCell ref="J75:R75"/>
    <mergeCell ref="A72:C72"/>
    <mergeCell ref="D72:I72"/>
    <mergeCell ref="J72:R72"/>
    <mergeCell ref="A73:C73"/>
    <mergeCell ref="D73:I73"/>
    <mergeCell ref="J73:R73"/>
    <mergeCell ref="A70:C70"/>
    <mergeCell ref="D70:I70"/>
    <mergeCell ref="J70:R70"/>
    <mergeCell ref="A71:C71"/>
    <mergeCell ref="D71:I71"/>
    <mergeCell ref="J71:R71"/>
    <mergeCell ref="A68:C68"/>
    <mergeCell ref="D68:I68"/>
    <mergeCell ref="J68:R68"/>
    <mergeCell ref="A69:C69"/>
    <mergeCell ref="D69:I69"/>
    <mergeCell ref="J69:R69"/>
    <mergeCell ref="A66:C66"/>
    <mergeCell ref="D66:I66"/>
    <mergeCell ref="J66:R66"/>
    <mergeCell ref="A67:C67"/>
    <mergeCell ref="D67:I67"/>
    <mergeCell ref="J67:R67"/>
    <mergeCell ref="A64:C64"/>
    <mergeCell ref="D64:I64"/>
    <mergeCell ref="J64:R64"/>
    <mergeCell ref="A65:C65"/>
    <mergeCell ref="D65:I65"/>
    <mergeCell ref="J65:R65"/>
    <mergeCell ref="B60:C60"/>
    <mergeCell ref="D60:Q60"/>
    <mergeCell ref="A62:C62"/>
    <mergeCell ref="D62:I62"/>
    <mergeCell ref="J62:R62"/>
    <mergeCell ref="A63:C63"/>
    <mergeCell ref="D63:I63"/>
    <mergeCell ref="J63:R63"/>
    <mergeCell ref="B57:C57"/>
    <mergeCell ref="D57:Q57"/>
    <mergeCell ref="B58:C58"/>
    <mergeCell ref="D58:Q58"/>
    <mergeCell ref="B59:C59"/>
    <mergeCell ref="D59:Q59"/>
    <mergeCell ref="A54:C54"/>
    <mergeCell ref="D54:I54"/>
    <mergeCell ref="J54:R54"/>
    <mergeCell ref="B55:C55"/>
    <mergeCell ref="B56:C56"/>
    <mergeCell ref="D56:N56"/>
    <mergeCell ref="P56:Q56"/>
    <mergeCell ref="A52:C52"/>
    <mergeCell ref="D52:I52"/>
    <mergeCell ref="J52:R52"/>
    <mergeCell ref="A53:C53"/>
    <mergeCell ref="D53:I53"/>
    <mergeCell ref="J53:R53"/>
    <mergeCell ref="A50:C50"/>
    <mergeCell ref="D50:I50"/>
    <mergeCell ref="J50:R50"/>
    <mergeCell ref="A51:C51"/>
    <mergeCell ref="D51:I51"/>
    <mergeCell ref="J51:R51"/>
    <mergeCell ref="A48:C48"/>
    <mergeCell ref="D48:I48"/>
    <mergeCell ref="J48:R48"/>
    <mergeCell ref="A49:C49"/>
    <mergeCell ref="D49:I49"/>
    <mergeCell ref="J49:R49"/>
    <mergeCell ref="B42:R42"/>
    <mergeCell ref="B43:R43"/>
    <mergeCell ref="B44:R44"/>
    <mergeCell ref="B45:R45"/>
    <mergeCell ref="B46:R46"/>
    <mergeCell ref="A47:C47"/>
    <mergeCell ref="D47:I47"/>
    <mergeCell ref="J47:R47"/>
    <mergeCell ref="B31:C31"/>
    <mergeCell ref="B34:C34"/>
    <mergeCell ref="B37:F37"/>
    <mergeCell ref="B40:C40"/>
    <mergeCell ref="D40:R40"/>
    <mergeCell ref="B41:R41"/>
    <mergeCell ref="B22:C22"/>
    <mergeCell ref="D22:Q22"/>
    <mergeCell ref="B23:C23"/>
    <mergeCell ref="D23:Q23"/>
    <mergeCell ref="B25:C25"/>
    <mergeCell ref="B28:C28"/>
    <mergeCell ref="B17:C17"/>
    <mergeCell ref="D17:Q17"/>
    <mergeCell ref="D18:Q18"/>
    <mergeCell ref="D19:Q19"/>
    <mergeCell ref="D20:Q20"/>
    <mergeCell ref="B21:C21"/>
    <mergeCell ref="D21:Q21"/>
    <mergeCell ref="B14:C14"/>
    <mergeCell ref="D14:Q14"/>
    <mergeCell ref="B15:C15"/>
    <mergeCell ref="D15:Q15"/>
    <mergeCell ref="B16:C16"/>
    <mergeCell ref="D16:Q16"/>
    <mergeCell ref="B9:C9"/>
    <mergeCell ref="D9:N9"/>
    <mergeCell ref="Q9:R9"/>
    <mergeCell ref="B10:C10"/>
    <mergeCell ref="D10:N10"/>
    <mergeCell ref="Q10:R10"/>
    <mergeCell ref="P6:Q6"/>
    <mergeCell ref="B7:C7"/>
    <mergeCell ref="D7:N7"/>
    <mergeCell ref="P7:Q7"/>
    <mergeCell ref="B8:C8"/>
    <mergeCell ref="D8:N8"/>
    <mergeCell ref="P8:Q8"/>
    <mergeCell ref="B4:D4"/>
    <mergeCell ref="E4:N4"/>
    <mergeCell ref="B5:C5"/>
    <mergeCell ref="D5:N5"/>
    <mergeCell ref="B6:C6"/>
    <mergeCell ref="D6:N6"/>
  </mergeCells>
  <printOptions horizontalCentered="1" verticalCentered="1"/>
  <pageMargins left="7.8472222222222221E-2" right="3.9583333333333331E-2" top="0.15763888888888888" bottom="0" header="0.51181102362204722" footer="0.51181102362204722"/>
  <pageSetup paperSize="9" scale="94" firstPageNumber="0" orientation="portrait" horizontalDpi="300" verticalDpi="300" r:id="rId1"/>
  <headerFooter alignWithMargins="0"/>
  <rowBreaks count="1" manualBreakCount="1">
    <brk id="5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Ersatzteile">
              <controlPr defaultSize="0" print="0" autoFill="0" autoPict="0" macro="[0]!ErsatzteileEinfuegen">
                <anchor moveWithCells="1" sizeWithCells="1">
                  <from>
                    <xdr:col>19</xdr:col>
                    <xdr:colOff>121920</xdr:colOff>
                    <xdr:row>46</xdr:row>
                    <xdr:rowOff>0</xdr:rowOff>
                  </from>
                  <to>
                    <xdr:col>22</xdr:col>
                    <xdr:colOff>22860</xdr:colOff>
                    <xdr:row>47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4D98-6AC3-411F-9CF5-7CB75FAD35B7}">
  <sheetPr codeName="Tabelle6">
    <pageSetUpPr fitToPage="1"/>
  </sheetPr>
  <dimension ref="A1:K27"/>
  <sheetViews>
    <sheetView workbookViewId="0">
      <selection activeCell="D4" sqref="D4"/>
    </sheetView>
  </sheetViews>
  <sheetFormatPr baseColWidth="10" defaultColWidth="11" defaultRowHeight="13.2" x14ac:dyDescent="0.25"/>
  <sheetData>
    <row r="1" spans="1:11" ht="20.100000000000001" customHeight="1" x14ac:dyDescent="0.35">
      <c r="A1" s="254" t="s">
        <v>93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</row>
    <row r="2" spans="1:11" ht="20.100000000000001" customHeight="1" x14ac:dyDescent="0.25">
      <c r="A2" s="12" t="s">
        <v>18</v>
      </c>
      <c r="B2" s="203">
        <f ca="1">TODAY()</f>
        <v>46313</v>
      </c>
      <c r="C2" s="203"/>
    </row>
    <row r="3" spans="1:11" ht="20.100000000000001" customHeight="1" x14ac:dyDescent="0.25">
      <c r="A3" s="12"/>
    </row>
    <row r="4" spans="1:11" ht="20.100000000000001" customHeight="1" x14ac:dyDescent="0.25">
      <c r="A4" s="12" t="s">
        <v>94</v>
      </c>
      <c r="B4" s="5"/>
      <c r="C4" s="6"/>
      <c r="D4" s="6"/>
      <c r="E4" s="6"/>
      <c r="F4" s="6"/>
    </row>
    <row r="5" spans="1:11" ht="20.100000000000001" customHeight="1" x14ac:dyDescent="0.25">
      <c r="A5" s="12"/>
    </row>
    <row r="6" spans="1:11" ht="20.100000000000001" customHeight="1" x14ac:dyDescent="0.25">
      <c r="A6" s="12" t="s">
        <v>95</v>
      </c>
      <c r="B6" s="5"/>
      <c r="C6" s="6"/>
      <c r="D6" s="6"/>
      <c r="E6" s="6"/>
      <c r="F6" s="6"/>
    </row>
    <row r="7" spans="1:11" ht="20.100000000000001" customHeight="1" x14ac:dyDescent="0.25">
      <c r="A7" s="12"/>
    </row>
    <row r="8" spans="1:11" ht="20.100000000000001" customHeight="1" x14ac:dyDescent="0.25">
      <c r="A8" s="12"/>
    </row>
    <row r="9" spans="1:11" ht="20.100000000000001" customHeight="1" x14ac:dyDescent="0.25">
      <c r="A9" s="12" t="s">
        <v>96</v>
      </c>
      <c r="B9" s="70"/>
      <c r="C9" s="6"/>
      <c r="D9" s="6"/>
      <c r="E9" s="12" t="s">
        <v>97</v>
      </c>
      <c r="F9" s="70"/>
      <c r="G9" s="6"/>
      <c r="H9" s="6"/>
      <c r="I9" s="12" t="s">
        <v>98</v>
      </c>
      <c r="J9" s="6"/>
      <c r="K9" s="6"/>
    </row>
    <row r="10" spans="1:11" ht="20.100000000000001" customHeight="1" x14ac:dyDescent="0.25">
      <c r="A10" s="12"/>
      <c r="E10" s="12"/>
      <c r="I10" s="12"/>
    </row>
    <row r="11" spans="1:11" ht="20.100000000000001" customHeight="1" x14ac:dyDescent="0.25">
      <c r="A11" s="12" t="s">
        <v>96</v>
      </c>
      <c r="B11" s="70"/>
      <c r="C11" s="6"/>
      <c r="D11" s="6"/>
      <c r="E11" s="12" t="s">
        <v>97</v>
      </c>
      <c r="F11" s="70"/>
      <c r="G11" s="6"/>
      <c r="H11" s="6"/>
      <c r="I11" s="12" t="s">
        <v>98</v>
      </c>
      <c r="J11" s="6"/>
      <c r="K11" s="6"/>
    </row>
    <row r="12" spans="1:11" ht="20.100000000000001" customHeight="1" x14ac:dyDescent="0.25">
      <c r="A12" s="12"/>
      <c r="E12" s="12"/>
      <c r="I12" s="12"/>
    </row>
    <row r="13" spans="1:11" ht="20.100000000000001" customHeight="1" x14ac:dyDescent="0.25">
      <c r="A13" s="12" t="s">
        <v>96</v>
      </c>
      <c r="B13" s="70"/>
      <c r="C13" s="6"/>
      <c r="D13" s="6"/>
      <c r="E13" s="12" t="s">
        <v>97</v>
      </c>
      <c r="F13" s="70"/>
      <c r="G13" s="6"/>
      <c r="H13" s="6"/>
      <c r="I13" s="12" t="s">
        <v>98</v>
      </c>
      <c r="J13" s="6"/>
      <c r="K13" s="6"/>
    </row>
    <row r="14" spans="1:11" ht="20.100000000000001" customHeight="1" x14ac:dyDescent="0.25">
      <c r="A14" s="12"/>
      <c r="E14" s="12"/>
      <c r="I14" s="12"/>
    </row>
    <row r="15" spans="1:11" ht="20.100000000000001" customHeight="1" x14ac:dyDescent="0.25">
      <c r="A15" s="12" t="s">
        <v>96</v>
      </c>
      <c r="B15" s="70"/>
      <c r="C15" s="6"/>
      <c r="D15" s="6"/>
      <c r="E15" s="12" t="s">
        <v>97</v>
      </c>
      <c r="F15" s="70"/>
      <c r="G15" s="6"/>
      <c r="H15" s="6"/>
      <c r="I15" s="12" t="s">
        <v>98</v>
      </c>
      <c r="J15" s="6"/>
      <c r="K15" s="6"/>
    </row>
    <row r="16" spans="1:11" ht="20.100000000000001" customHeight="1" x14ac:dyDescent="0.25">
      <c r="A16" s="12"/>
      <c r="E16" s="12"/>
      <c r="I16" s="12"/>
    </row>
    <row r="17" spans="1:11" ht="20.100000000000001" customHeight="1" x14ac:dyDescent="0.25">
      <c r="A17" s="12" t="s">
        <v>96</v>
      </c>
      <c r="B17" s="70"/>
      <c r="C17" s="6"/>
      <c r="D17" s="6"/>
      <c r="E17" s="12" t="s">
        <v>97</v>
      </c>
      <c r="F17" s="70"/>
      <c r="G17" s="6"/>
      <c r="H17" s="6"/>
      <c r="I17" s="12" t="s">
        <v>98</v>
      </c>
      <c r="J17" s="6"/>
      <c r="K17" s="6"/>
    </row>
    <row r="18" spans="1:11" ht="20.100000000000001" customHeight="1" x14ac:dyDescent="0.25">
      <c r="A18" s="12"/>
      <c r="E18" s="12"/>
      <c r="I18" s="12"/>
    </row>
    <row r="19" spans="1:11" ht="20.100000000000001" customHeight="1" x14ac:dyDescent="0.25"/>
    <row r="20" spans="1:11" ht="20.100000000000001" customHeight="1" x14ac:dyDescent="0.25">
      <c r="H20" s="205" t="s">
        <v>99</v>
      </c>
      <c r="I20" s="205"/>
      <c r="J20" s="71" t="s">
        <v>100</v>
      </c>
      <c r="K20" s="71" t="s">
        <v>101</v>
      </c>
    </row>
    <row r="21" spans="1:11" ht="12.75" customHeight="1" x14ac:dyDescent="0.25"/>
    <row r="22" spans="1:11" ht="12.75" customHeight="1" x14ac:dyDescent="0.25">
      <c r="I22" s="12" t="s">
        <v>18</v>
      </c>
      <c r="J22" s="6"/>
      <c r="K22" s="6"/>
    </row>
    <row r="23" spans="1:11" ht="12.75" customHeight="1" x14ac:dyDescent="0.25"/>
    <row r="24" spans="1:11" ht="12.75" customHeight="1" x14ac:dyDescent="0.25"/>
    <row r="25" spans="1:11" ht="12.75" customHeight="1" x14ac:dyDescent="0.25">
      <c r="A25" s="6"/>
      <c r="B25" s="5"/>
      <c r="C25" s="6"/>
      <c r="I25" s="6"/>
      <c r="J25" s="6"/>
      <c r="K25" s="6"/>
    </row>
    <row r="26" spans="1:11" ht="12.75" customHeight="1" x14ac:dyDescent="0.25">
      <c r="B26" t="s">
        <v>102</v>
      </c>
      <c r="J26" t="s">
        <v>102</v>
      </c>
    </row>
    <row r="27" spans="1:11" ht="12.75" customHeight="1" x14ac:dyDescent="0.25"/>
  </sheetData>
  <sheetProtection selectLockedCells="1" selectUnlockedCells="1"/>
  <mergeCells count="3">
    <mergeCell ref="A1:K1"/>
    <mergeCell ref="B2:C2"/>
    <mergeCell ref="H20:I20"/>
  </mergeCells>
  <pageMargins left="0.78749999999999998" right="0.78749999999999998" top="0.98402777777777783" bottom="0.59027777777777779" header="0.51181102362204722" footer="0.51181102362204722"/>
  <pageSetup paperSize="9" firstPageNumber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2769-AC7A-4B4C-9322-B3CA55CAED69}">
  <sheetPr codeName="Tabelle7">
    <pageSetUpPr fitToPage="1"/>
  </sheetPr>
  <dimension ref="A1:E44"/>
  <sheetViews>
    <sheetView tabSelected="1" workbookViewId="0">
      <selection activeCell="L9" sqref="L9"/>
    </sheetView>
  </sheetViews>
  <sheetFormatPr baseColWidth="10" defaultColWidth="11" defaultRowHeight="13.2" x14ac:dyDescent="0.25"/>
  <cols>
    <col min="1" max="3" width="22.6640625" customWidth="1"/>
  </cols>
  <sheetData>
    <row r="1" spans="1:5" ht="25.5" customHeight="1" x14ac:dyDescent="0.4">
      <c r="A1" s="1" t="s">
        <v>103</v>
      </c>
      <c r="B1" s="2"/>
      <c r="C1" s="2"/>
      <c r="D1" s="2"/>
      <c r="E1" s="2"/>
    </row>
    <row r="2" spans="1:5" ht="1.5" customHeight="1" x14ac:dyDescent="0.4">
      <c r="A2" s="1"/>
      <c r="B2" s="2"/>
      <c r="C2" s="2"/>
      <c r="D2" s="2"/>
      <c r="E2" s="2"/>
    </row>
    <row r="3" spans="1:5" ht="20.100000000000001" customHeight="1" x14ac:dyDescent="0.25">
      <c r="A3" s="17" t="s">
        <v>20</v>
      </c>
      <c r="B3" s="6"/>
      <c r="C3" s="6"/>
    </row>
    <row r="4" spans="1:5" ht="20.100000000000001" customHeight="1" x14ac:dyDescent="0.25">
      <c r="A4" s="17" t="s">
        <v>21</v>
      </c>
      <c r="B4" s="6"/>
      <c r="C4" s="6"/>
    </row>
    <row r="5" spans="1:5" ht="20.100000000000001" customHeight="1" x14ac:dyDescent="0.25">
      <c r="A5" s="17" t="s">
        <v>22</v>
      </c>
      <c r="B5" s="6"/>
      <c r="C5" s="6"/>
    </row>
    <row r="6" spans="1:5" ht="20.100000000000001" customHeight="1" x14ac:dyDescent="0.25">
      <c r="A6" s="17"/>
    </row>
    <row r="7" spans="1:5" ht="20.100000000000001" customHeight="1" x14ac:dyDescent="0.25">
      <c r="A7" s="12" t="s">
        <v>1</v>
      </c>
      <c r="B7" s="5"/>
      <c r="C7" s="6"/>
    </row>
    <row r="8" spans="1:5" ht="20.100000000000001" customHeight="1" x14ac:dyDescent="0.25">
      <c r="A8" s="17" t="s">
        <v>4</v>
      </c>
      <c r="B8" s="6"/>
      <c r="C8" s="6"/>
    </row>
    <row r="9" spans="1:5" ht="20.100000000000001" customHeight="1" x14ac:dyDescent="0.25">
      <c r="A9" s="17" t="s">
        <v>51</v>
      </c>
      <c r="B9" s="6"/>
      <c r="C9" s="6"/>
    </row>
    <row r="10" spans="1:5" ht="20.100000000000001" customHeight="1" x14ac:dyDescent="0.25"/>
    <row r="11" spans="1:5" ht="20.100000000000001" customHeight="1" x14ac:dyDescent="0.25">
      <c r="A11" s="17" t="s">
        <v>5</v>
      </c>
      <c r="B11" s="6"/>
      <c r="C11" s="6"/>
    </row>
    <row r="12" spans="1:5" ht="20.100000000000001" customHeight="1" x14ac:dyDescent="0.25">
      <c r="A12" s="17" t="s">
        <v>6</v>
      </c>
      <c r="B12" s="6"/>
      <c r="C12" s="6"/>
    </row>
    <row r="13" spans="1:5" ht="20.100000000000001" customHeight="1" x14ac:dyDescent="0.25">
      <c r="A13" s="12" t="s">
        <v>7</v>
      </c>
      <c r="B13" s="6"/>
      <c r="C13" s="6"/>
    </row>
    <row r="14" spans="1:5" ht="20.100000000000001" customHeight="1" x14ac:dyDescent="0.25">
      <c r="A14" s="12" t="s">
        <v>26</v>
      </c>
      <c r="B14" s="29"/>
      <c r="C14" s="29"/>
    </row>
    <row r="15" spans="1:5" ht="20.100000000000001" customHeight="1" x14ac:dyDescent="0.25">
      <c r="A15" s="12" t="s">
        <v>27</v>
      </c>
      <c r="B15" s="29"/>
      <c r="C15" s="29"/>
    </row>
    <row r="16" spans="1:5" ht="20.100000000000001" customHeight="1" x14ac:dyDescent="0.25">
      <c r="A16" s="12" t="s">
        <v>28</v>
      </c>
      <c r="B16" s="29"/>
      <c r="C16" s="29"/>
    </row>
    <row r="17" spans="1:5" ht="20.100000000000001" customHeight="1" x14ac:dyDescent="0.25">
      <c r="A17" s="12" t="s">
        <v>29</v>
      </c>
      <c r="B17" s="29"/>
      <c r="C17" s="29"/>
    </row>
    <row r="18" spans="1:5" ht="20.100000000000001" customHeight="1" x14ac:dyDescent="0.25">
      <c r="A18" s="12" t="s">
        <v>30</v>
      </c>
      <c r="B18" s="29"/>
      <c r="C18" s="29"/>
    </row>
    <row r="19" spans="1:5" ht="20.100000000000001" customHeight="1" x14ac:dyDescent="0.25">
      <c r="A19" s="12" t="s">
        <v>8</v>
      </c>
      <c r="B19" s="6"/>
      <c r="C19" s="6"/>
    </row>
    <row r="20" spans="1:5" ht="20.100000000000001" customHeight="1" x14ac:dyDescent="0.25">
      <c r="A20" s="12" t="s">
        <v>104</v>
      </c>
      <c r="B20" s="29"/>
      <c r="C20" s="29"/>
    </row>
    <row r="21" spans="1:5" ht="20.100000000000001" customHeight="1" x14ac:dyDescent="0.25">
      <c r="A21" s="12" t="s">
        <v>105</v>
      </c>
      <c r="B21" s="29"/>
      <c r="C21" s="29"/>
    </row>
    <row r="22" spans="1:5" ht="12.75" customHeight="1" x14ac:dyDescent="0.25">
      <c r="A22" s="72" t="s">
        <v>106</v>
      </c>
    </row>
    <row r="23" spans="1:5" ht="12.75" customHeight="1" x14ac:dyDescent="0.25">
      <c r="A23" s="12" t="s">
        <v>107</v>
      </c>
    </row>
    <row r="24" spans="1:5" ht="20.100000000000001" customHeight="1" x14ac:dyDescent="0.25">
      <c r="A24" s="30"/>
      <c r="B24" s="6"/>
      <c r="C24" s="6"/>
      <c r="D24" s="6"/>
      <c r="E24" s="6"/>
    </row>
    <row r="25" spans="1:5" ht="20.100000000000001" customHeight="1" x14ac:dyDescent="0.25">
      <c r="A25" s="7"/>
    </row>
    <row r="26" spans="1:5" ht="20.100000000000001" customHeight="1" x14ac:dyDescent="0.25">
      <c r="A26" s="20"/>
      <c r="B26" s="29"/>
      <c r="C26" s="29"/>
      <c r="D26" s="29"/>
      <c r="E26" s="29"/>
    </row>
    <row r="27" spans="1:5" ht="20.100000000000001" customHeight="1" x14ac:dyDescent="0.25">
      <c r="A27" s="29"/>
      <c r="B27" s="29"/>
      <c r="C27" s="29"/>
      <c r="D27" s="29"/>
      <c r="E27" s="29"/>
    </row>
    <row r="28" spans="1:5" ht="12.75" customHeight="1" x14ac:dyDescent="0.25">
      <c r="A28" s="12" t="s">
        <v>108</v>
      </c>
    </row>
    <row r="29" spans="1:5" ht="20.100000000000001" customHeight="1" x14ac:dyDescent="0.25"/>
    <row r="30" spans="1:5" ht="20.100000000000001" customHeight="1" x14ac:dyDescent="0.25">
      <c r="A30" s="29"/>
      <c r="B30" s="29"/>
      <c r="C30" s="29"/>
      <c r="D30" s="29"/>
      <c r="E30" s="29"/>
    </row>
    <row r="31" spans="1:5" ht="20.100000000000001" customHeight="1" x14ac:dyDescent="0.25">
      <c r="A31" s="29"/>
      <c r="B31" s="29"/>
      <c r="C31" s="29"/>
      <c r="D31" s="29"/>
      <c r="E31" s="29"/>
    </row>
    <row r="32" spans="1:5" ht="20.100000000000001" customHeight="1" x14ac:dyDescent="0.25">
      <c r="A32" s="6"/>
      <c r="B32" s="6"/>
      <c r="C32" s="6"/>
      <c r="D32" s="6"/>
      <c r="E32" s="6"/>
    </row>
    <row r="33" spans="1:5" ht="12.75" customHeight="1" x14ac:dyDescent="0.25">
      <c r="A33" s="12" t="s">
        <v>109</v>
      </c>
    </row>
    <row r="34" spans="1:5" ht="20.100000000000001" customHeight="1" x14ac:dyDescent="0.25"/>
    <row r="35" spans="1:5" ht="20.100000000000001" customHeight="1" x14ac:dyDescent="0.25">
      <c r="A35" s="29"/>
      <c r="B35" s="29"/>
      <c r="C35" s="29"/>
      <c r="D35" s="29"/>
      <c r="E35" s="29"/>
    </row>
    <row r="36" spans="1:5" ht="20.100000000000001" customHeight="1" x14ac:dyDescent="0.25"/>
    <row r="37" spans="1:5" ht="20.100000000000001" customHeight="1" x14ac:dyDescent="0.25">
      <c r="A37" s="29"/>
      <c r="B37" s="29"/>
      <c r="C37" s="29"/>
      <c r="D37" s="29"/>
      <c r="E37" s="29"/>
    </row>
    <row r="38" spans="1:5" ht="12.75" customHeight="1" x14ac:dyDescent="0.25">
      <c r="A38" s="12" t="s">
        <v>110</v>
      </c>
    </row>
    <row r="39" spans="1:5" ht="20.100000000000001" customHeight="1" x14ac:dyDescent="0.25"/>
    <row r="40" spans="1:5" ht="20.100000000000001" customHeight="1" x14ac:dyDescent="0.25">
      <c r="A40" s="29"/>
      <c r="B40" s="29"/>
      <c r="C40" s="29"/>
      <c r="D40" s="29"/>
      <c r="E40" s="29"/>
    </row>
    <row r="41" spans="1:5" ht="20.100000000000001" customHeight="1" x14ac:dyDescent="0.25">
      <c r="A41" s="29"/>
      <c r="B41" s="29"/>
      <c r="C41" s="29"/>
      <c r="D41" s="29"/>
      <c r="E41" s="29"/>
    </row>
    <row r="42" spans="1:5" ht="20.100000000000001" customHeight="1" x14ac:dyDescent="0.25"/>
    <row r="43" spans="1:5" ht="20.100000000000001" customHeight="1" x14ac:dyDescent="0.25">
      <c r="A43" s="12" t="s">
        <v>111</v>
      </c>
      <c r="B43" s="71" t="s">
        <v>36</v>
      </c>
      <c r="C43" s="6"/>
      <c r="D43" s="5"/>
      <c r="E43" s="6"/>
    </row>
    <row r="44" spans="1:5" x14ac:dyDescent="0.25">
      <c r="C44" s="211" t="s">
        <v>40</v>
      </c>
      <c r="D44" s="211"/>
      <c r="E44" s="211"/>
    </row>
  </sheetData>
  <sheetProtection selectLockedCells="1" selectUnlockedCells="1"/>
  <mergeCells count="1">
    <mergeCell ref="C44:E44"/>
  </mergeCells>
  <pageMargins left="0.39374999999999999" right="0.19652777777777777" top="0.1701388888888889" bottom="0" header="0.51181102362204722" footer="0.51181102362204722"/>
  <pageSetup paperSize="9"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63598-B49B-4C0E-961F-03243B50B34A}">
  <sheetPr codeName="Tabelle8">
    <pageSetUpPr fitToPage="1"/>
  </sheetPr>
  <dimension ref="A1:AD67"/>
  <sheetViews>
    <sheetView topLeftCell="A22" workbookViewId="0">
      <selection activeCell="R51" sqref="R51:U51"/>
    </sheetView>
  </sheetViews>
  <sheetFormatPr baseColWidth="10" defaultColWidth="11.44140625" defaultRowHeight="13.8" x14ac:dyDescent="0.25"/>
  <cols>
    <col min="1" max="11" width="3.6640625" style="73" customWidth="1"/>
    <col min="12" max="12" width="4.21875" style="73" customWidth="1"/>
    <col min="13" max="25" width="3.6640625" style="73" customWidth="1"/>
    <col min="26" max="26" width="2" style="73" customWidth="1"/>
    <col min="27" max="27" width="3.6640625" style="73" hidden="1" customWidth="1"/>
    <col min="28" max="30" width="3.6640625" style="73" customWidth="1"/>
  </cols>
  <sheetData>
    <row r="1" spans="1:30" ht="20.25" customHeight="1" x14ac:dyDescent="0.3">
      <c r="A1" s="74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5"/>
      <c r="W1" s="77" t="s">
        <v>113</v>
      </c>
      <c r="X1" s="75"/>
      <c r="Y1" s="75"/>
      <c r="Z1" s="75"/>
      <c r="AA1" s="78"/>
      <c r="AB1" s="79"/>
    </row>
    <row r="2" spans="1:30" ht="12" customHeight="1" x14ac:dyDescent="0.25">
      <c r="A2" s="80" t="s">
        <v>114</v>
      </c>
      <c r="B2" s="81"/>
      <c r="C2" s="81"/>
      <c r="D2" s="82"/>
      <c r="E2" s="82"/>
      <c r="F2" s="82"/>
      <c r="G2" s="83"/>
      <c r="H2" s="84" t="s">
        <v>115</v>
      </c>
      <c r="I2" s="81"/>
      <c r="J2" s="81"/>
      <c r="K2" s="81"/>
      <c r="L2" s="81"/>
      <c r="M2" s="81"/>
      <c r="N2" s="85"/>
      <c r="O2" s="84" t="s">
        <v>18</v>
      </c>
      <c r="P2" s="86"/>
      <c r="Q2" s="86"/>
      <c r="R2" s="86"/>
      <c r="S2" s="86"/>
      <c r="T2" s="86"/>
      <c r="U2" s="87"/>
      <c r="V2" s="255"/>
      <c r="W2" s="255"/>
      <c r="X2" s="255"/>
      <c r="Y2" s="255"/>
      <c r="Z2" s="255"/>
      <c r="AA2" s="255"/>
      <c r="AB2" s="255"/>
    </row>
    <row r="3" spans="1:30" ht="22.5" customHeight="1" x14ac:dyDescent="0.25">
      <c r="A3" s="256"/>
      <c r="B3" s="256"/>
      <c r="C3" s="256"/>
      <c r="D3" s="256"/>
      <c r="E3" s="256"/>
      <c r="F3" s="256"/>
      <c r="G3" s="256"/>
      <c r="H3" s="257"/>
      <c r="I3" s="257"/>
      <c r="J3" s="257"/>
      <c r="K3" s="257"/>
      <c r="L3" s="257"/>
      <c r="M3" s="257"/>
      <c r="N3" s="257"/>
      <c r="O3" s="258">
        <f ca="1">TODAY()</f>
        <v>46313</v>
      </c>
      <c r="P3" s="258"/>
      <c r="Q3" s="258"/>
      <c r="R3" s="258"/>
      <c r="S3" s="258"/>
      <c r="T3" s="258"/>
      <c r="U3" s="258"/>
      <c r="V3" s="255"/>
      <c r="W3" s="255"/>
      <c r="X3" s="255"/>
      <c r="Y3" s="255"/>
      <c r="Z3" s="255"/>
      <c r="AA3" s="255"/>
      <c r="AB3" s="255"/>
    </row>
    <row r="4" spans="1:30" ht="12" customHeight="1" x14ac:dyDescent="0.25">
      <c r="A4" s="80" t="s">
        <v>116</v>
      </c>
      <c r="B4" s="81"/>
      <c r="C4" s="81"/>
      <c r="D4" s="81"/>
      <c r="E4" s="81"/>
      <c r="F4" s="81"/>
      <c r="G4" s="85"/>
      <c r="H4" s="84" t="s">
        <v>117</v>
      </c>
      <c r="I4" s="81"/>
      <c r="J4" s="81"/>
      <c r="K4" s="81"/>
      <c r="L4" s="81"/>
      <c r="M4" s="81"/>
      <c r="N4" s="85"/>
      <c r="O4" s="88" t="s">
        <v>118</v>
      </c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B4" s="89"/>
    </row>
    <row r="5" spans="1:30" ht="20.25" customHeight="1" x14ac:dyDescent="0.25">
      <c r="A5" s="259"/>
      <c r="B5" s="259"/>
      <c r="C5" s="259"/>
      <c r="D5" s="259"/>
      <c r="E5" s="259"/>
      <c r="F5" s="259"/>
      <c r="G5" s="259"/>
      <c r="H5" s="260"/>
      <c r="I5" s="260"/>
      <c r="J5" s="260"/>
      <c r="K5" s="260"/>
      <c r="L5" s="260"/>
      <c r="M5" s="260"/>
      <c r="N5" s="260"/>
      <c r="O5" s="90"/>
      <c r="AB5" s="89"/>
    </row>
    <row r="6" spans="1:30" ht="15.75" customHeight="1" x14ac:dyDescent="0.25">
      <c r="A6" s="91" t="s">
        <v>119</v>
      </c>
      <c r="B6" s="92"/>
      <c r="C6" s="93"/>
      <c r="D6" s="92"/>
      <c r="E6" s="93"/>
      <c r="F6" s="92"/>
      <c r="G6" s="93"/>
      <c r="H6" s="92"/>
      <c r="I6" s="93"/>
      <c r="J6" s="92"/>
      <c r="K6" s="93"/>
      <c r="L6" s="261"/>
      <c r="M6" s="261"/>
      <c r="N6" s="261"/>
      <c r="AB6" s="89"/>
    </row>
    <row r="7" spans="1:30" ht="15" customHeight="1" x14ac:dyDescent="0.25">
      <c r="A7" s="94" t="s">
        <v>120</v>
      </c>
      <c r="B7" s="95"/>
      <c r="C7" s="96"/>
      <c r="D7" s="95"/>
      <c r="E7" s="96"/>
      <c r="F7" s="95"/>
      <c r="G7" s="96"/>
      <c r="H7" s="95"/>
      <c r="I7" s="96"/>
      <c r="J7" s="95"/>
      <c r="K7" s="96"/>
      <c r="L7" s="261"/>
      <c r="M7" s="261"/>
      <c r="N7" s="261"/>
      <c r="AB7" s="89"/>
    </row>
    <row r="8" spans="1:30" ht="12" customHeight="1" x14ac:dyDescent="0.25">
      <c r="A8" s="97" t="s">
        <v>121</v>
      </c>
      <c r="B8" s="95"/>
      <c r="C8" s="98"/>
      <c r="D8" s="95"/>
      <c r="E8" s="98"/>
      <c r="F8" s="95"/>
      <c r="G8" s="98"/>
      <c r="H8" s="95"/>
      <c r="I8" s="98"/>
      <c r="J8" s="95"/>
      <c r="K8" s="98"/>
      <c r="L8" s="261"/>
      <c r="M8" s="261"/>
      <c r="N8" s="261"/>
      <c r="AB8" s="89"/>
    </row>
    <row r="9" spans="1:30" ht="12" customHeight="1" x14ac:dyDescent="0.25">
      <c r="A9" s="99" t="s">
        <v>122</v>
      </c>
      <c r="B9" s="100"/>
      <c r="C9" s="101"/>
      <c r="D9" s="100"/>
      <c r="E9" s="101"/>
      <c r="F9" s="100"/>
      <c r="G9" s="101"/>
      <c r="H9" s="100"/>
      <c r="I9" s="101"/>
      <c r="J9" s="100"/>
      <c r="K9" s="101"/>
      <c r="L9" s="261"/>
      <c r="M9" s="261"/>
      <c r="N9" s="261"/>
      <c r="O9" s="102"/>
      <c r="P9" s="102"/>
      <c r="Q9" s="102"/>
      <c r="R9" s="102"/>
      <c r="AB9" s="89"/>
    </row>
    <row r="10" spans="1:30" ht="14.25" customHeight="1" x14ac:dyDescent="0.25">
      <c r="B10" s="103"/>
      <c r="C10" s="103"/>
      <c r="D10" s="104"/>
      <c r="F10" s="105" t="s">
        <v>123</v>
      </c>
      <c r="G10" s="106"/>
      <c r="H10" s="107"/>
      <c r="I10" s="107"/>
      <c r="J10" s="107"/>
      <c r="K10" s="107"/>
      <c r="L10" s="107"/>
      <c r="M10" s="107"/>
      <c r="N10" s="108"/>
      <c r="O10" s="109"/>
      <c r="Q10" s="110"/>
      <c r="R10" s="111" t="s">
        <v>124</v>
      </c>
      <c r="S10" s="112"/>
      <c r="T10" s="113"/>
      <c r="U10" s="113"/>
      <c r="V10" s="113"/>
      <c r="W10" s="113"/>
      <c r="X10" s="113"/>
      <c r="Y10" s="113"/>
      <c r="Z10" s="114"/>
      <c r="AA10" s="115"/>
      <c r="AB10" s="116"/>
    </row>
    <row r="11" spans="1:30" ht="14.25" customHeight="1" x14ac:dyDescent="0.25">
      <c r="A11" s="117" t="s">
        <v>125</v>
      </c>
      <c r="B11" s="115"/>
      <c r="C11" s="115"/>
      <c r="D11" s="262"/>
      <c r="E11" s="262"/>
      <c r="F11" s="262"/>
      <c r="G11" s="262"/>
      <c r="H11" s="262"/>
      <c r="I11" s="103"/>
      <c r="J11" s="118" t="s">
        <v>126</v>
      </c>
      <c r="K11" s="118"/>
      <c r="L11" s="263"/>
      <c r="M11" s="263"/>
      <c r="N11" s="263"/>
      <c r="O11" s="263"/>
      <c r="P11" s="263"/>
      <c r="Q11" s="119"/>
      <c r="R11" s="119" t="s">
        <v>127</v>
      </c>
      <c r="S11" s="118"/>
      <c r="T11" s="264"/>
      <c r="U11" s="265"/>
      <c r="V11" s="265"/>
      <c r="W11" s="265"/>
      <c r="X11" s="265"/>
      <c r="Y11" s="265"/>
      <c r="Z11" s="265"/>
      <c r="AA11" s="115"/>
      <c r="AB11" s="116"/>
    </row>
    <row r="12" spans="1:30" ht="14.25" customHeight="1" x14ac:dyDescent="0.25">
      <c r="A12" s="117" t="s">
        <v>128</v>
      </c>
      <c r="B12" s="115"/>
      <c r="C12" s="115"/>
      <c r="D12" s="104"/>
      <c r="E12" s="104"/>
      <c r="F12" s="266"/>
      <c r="G12" s="267"/>
      <c r="H12" s="268"/>
      <c r="I12" s="115"/>
      <c r="J12" s="120" t="s">
        <v>129</v>
      </c>
      <c r="K12" s="120"/>
      <c r="L12" s="269"/>
      <c r="M12" s="270"/>
      <c r="N12" s="270"/>
      <c r="O12" s="270"/>
      <c r="P12" s="270"/>
      <c r="Q12" s="120"/>
      <c r="R12" s="120" t="s">
        <v>27</v>
      </c>
      <c r="S12" s="119"/>
      <c r="T12" s="265"/>
      <c r="U12" s="265"/>
      <c r="V12" s="265"/>
      <c r="W12" s="265"/>
      <c r="X12" s="265"/>
      <c r="Y12" s="265"/>
      <c r="Z12" s="103"/>
      <c r="AA12" s="115"/>
      <c r="AB12" s="116"/>
    </row>
    <row r="13" spans="1:30" ht="20.25" customHeight="1" x14ac:dyDescent="0.25">
      <c r="A13" s="117" t="s">
        <v>130</v>
      </c>
      <c r="B13" s="119"/>
      <c r="C13" s="119"/>
      <c r="D13" s="121"/>
      <c r="E13" s="199"/>
      <c r="F13" s="118"/>
      <c r="G13" s="122"/>
      <c r="H13" s="118" t="s">
        <v>131</v>
      </c>
      <c r="I13" s="119"/>
      <c r="J13" s="121"/>
      <c r="K13" s="123"/>
      <c r="L13" s="122"/>
      <c r="M13" s="118"/>
      <c r="N13" s="118" t="s">
        <v>133</v>
      </c>
      <c r="O13" s="118"/>
      <c r="P13" s="118"/>
      <c r="Q13" s="121"/>
      <c r="R13" s="123" t="s">
        <v>134</v>
      </c>
      <c r="S13" s="124"/>
      <c r="T13" s="118"/>
      <c r="U13" s="118" t="s">
        <v>135</v>
      </c>
      <c r="V13" s="118"/>
      <c r="W13" s="121"/>
      <c r="X13" s="123" t="s">
        <v>132</v>
      </c>
      <c r="Y13" s="118"/>
      <c r="Z13" s="119"/>
      <c r="AA13" s="119"/>
      <c r="AB13" s="125"/>
      <c r="AC13" s="126"/>
      <c r="AD13" s="126"/>
    </row>
    <row r="14" spans="1:30" ht="12" customHeight="1" x14ac:dyDescent="0.25">
      <c r="A14" s="127"/>
      <c r="B14" s="81"/>
      <c r="C14" s="120"/>
      <c r="D14" s="128"/>
      <c r="E14" s="128"/>
      <c r="F14" s="120"/>
      <c r="G14" s="81"/>
      <c r="H14" s="120"/>
      <c r="I14" s="81"/>
      <c r="J14" s="126"/>
      <c r="K14" s="128"/>
      <c r="L14" s="81"/>
      <c r="M14" s="120"/>
      <c r="N14" s="120"/>
      <c r="O14" s="120"/>
      <c r="P14" s="120"/>
      <c r="Q14" s="128"/>
      <c r="R14" s="128"/>
      <c r="S14" s="81"/>
      <c r="T14" s="120"/>
      <c r="U14" s="120"/>
      <c r="V14" s="120"/>
      <c r="W14" s="128"/>
      <c r="X14" s="128"/>
      <c r="Y14" s="120"/>
      <c r="Z14" s="120"/>
      <c r="AA14" s="126"/>
      <c r="AB14" s="129"/>
      <c r="AC14" s="126"/>
      <c r="AD14" s="126"/>
    </row>
    <row r="15" spans="1:30" ht="12" customHeight="1" x14ac:dyDescent="0.25">
      <c r="A15" s="130" t="s">
        <v>136</v>
      </c>
      <c r="F15" s="88" t="s">
        <v>137</v>
      </c>
      <c r="G15" s="128"/>
      <c r="O15" s="131"/>
      <c r="P15" s="132" t="s">
        <v>72</v>
      </c>
      <c r="Q15" s="102"/>
      <c r="R15" s="102"/>
      <c r="V15" s="102"/>
      <c r="W15" s="102"/>
      <c r="X15" s="102"/>
      <c r="Y15" s="102"/>
      <c r="Z15" s="102"/>
      <c r="AB15" s="89"/>
    </row>
    <row r="16" spans="1:30" ht="6" customHeight="1" x14ac:dyDescent="0.25">
      <c r="A16" s="133"/>
      <c r="B16" s="102"/>
      <c r="C16" s="102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34"/>
    </row>
    <row r="17" spans="1:30" ht="12" customHeight="1" x14ac:dyDescent="0.25">
      <c r="A17" s="127"/>
      <c r="B17" s="81"/>
      <c r="C17" s="120"/>
      <c r="D17" s="120"/>
      <c r="E17" s="120"/>
      <c r="F17" s="120"/>
      <c r="G17" s="81"/>
      <c r="H17" s="120"/>
      <c r="I17" s="81"/>
      <c r="J17" s="81"/>
      <c r="K17" s="120"/>
      <c r="L17" s="81"/>
      <c r="M17" s="120"/>
      <c r="N17" s="120"/>
      <c r="O17" s="120"/>
      <c r="P17" s="120"/>
      <c r="Q17" s="120"/>
      <c r="R17" s="120"/>
      <c r="S17" s="81"/>
      <c r="T17" s="120"/>
      <c r="U17" s="120"/>
      <c r="V17" s="120"/>
      <c r="W17" s="120"/>
      <c r="X17" s="120"/>
      <c r="Y17" s="120"/>
      <c r="Z17" s="120"/>
      <c r="AA17" s="126"/>
      <c r="AB17" s="129"/>
      <c r="AC17" s="126"/>
      <c r="AD17" s="126"/>
    </row>
    <row r="18" spans="1:30" ht="12" customHeight="1" x14ac:dyDescent="0.25">
      <c r="A18" s="90"/>
      <c r="C18" s="135" t="s">
        <v>138</v>
      </c>
      <c r="D18" s="136"/>
      <c r="E18" s="136"/>
      <c r="G18" s="136" t="s">
        <v>139</v>
      </c>
      <c r="H18" s="136"/>
      <c r="I18" s="136"/>
      <c r="J18" s="137"/>
      <c r="K18" s="136"/>
      <c r="L18" s="136"/>
      <c r="N18" s="136" t="s">
        <v>140</v>
      </c>
      <c r="O18" s="136"/>
      <c r="P18" s="138"/>
      <c r="Q18" s="136"/>
      <c r="R18" s="136"/>
      <c r="T18" s="136" t="s">
        <v>141</v>
      </c>
      <c r="U18" s="136"/>
      <c r="V18" s="136"/>
      <c r="W18" s="136"/>
      <c r="Y18" s="136" t="s">
        <v>142</v>
      </c>
      <c r="Z18" s="136"/>
      <c r="AA18" s="126"/>
      <c r="AB18" s="89"/>
    </row>
    <row r="19" spans="1:30" ht="12" customHeight="1" x14ac:dyDescent="0.25">
      <c r="A19" s="133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26"/>
      <c r="AB19" s="89"/>
    </row>
    <row r="20" spans="1:30" ht="12" customHeight="1" x14ac:dyDescent="0.25">
      <c r="A20" s="127" t="s">
        <v>143</v>
      </c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139"/>
      <c r="O20" s="81" t="s">
        <v>144</v>
      </c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140"/>
    </row>
    <row r="21" spans="1:30" ht="12" customHeight="1" x14ac:dyDescent="0.25">
      <c r="A21" s="141"/>
      <c r="B21" s="262"/>
      <c r="C21" s="262"/>
      <c r="D21" s="262"/>
      <c r="E21" s="262"/>
      <c r="F21" s="262"/>
      <c r="G21" s="262"/>
      <c r="H21" s="262"/>
      <c r="I21" s="262"/>
      <c r="J21" s="262"/>
      <c r="K21" s="262"/>
      <c r="L21" s="262"/>
      <c r="M21" s="142"/>
      <c r="N21" s="143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B21" s="89"/>
    </row>
    <row r="22" spans="1:30" ht="12" customHeight="1" x14ac:dyDescent="0.25">
      <c r="A22" s="141"/>
      <c r="B22" s="262"/>
      <c r="C22" s="262"/>
      <c r="D22" s="262"/>
      <c r="E22" s="262"/>
      <c r="F22" s="262"/>
      <c r="G22" s="262"/>
      <c r="H22" s="262"/>
      <c r="I22" s="262"/>
      <c r="J22" s="262"/>
      <c r="K22" s="262"/>
      <c r="L22" s="262"/>
      <c r="M22" s="142"/>
      <c r="N22" s="143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B22" s="89"/>
    </row>
    <row r="23" spans="1:30" ht="12" customHeight="1" x14ac:dyDescent="0.25">
      <c r="A23" s="141"/>
      <c r="B23" s="262"/>
      <c r="C23" s="262"/>
      <c r="D23" s="262"/>
      <c r="E23" s="262"/>
      <c r="F23" s="262"/>
      <c r="G23" s="262"/>
      <c r="H23" s="262"/>
      <c r="I23" s="262"/>
      <c r="J23" s="262"/>
      <c r="K23" s="262"/>
      <c r="L23" s="262"/>
      <c r="M23" s="142"/>
      <c r="N23" s="143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B23" s="89"/>
    </row>
    <row r="24" spans="1:30" ht="5.25" customHeight="1" x14ac:dyDescent="0.25">
      <c r="A24" s="133"/>
      <c r="B24" s="144"/>
      <c r="C24" s="144"/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5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02"/>
      <c r="AA24" s="102"/>
      <c r="AB24" s="134"/>
    </row>
    <row r="25" spans="1:30" ht="12" customHeight="1" x14ac:dyDescent="0.25">
      <c r="A25" s="127" t="s">
        <v>145</v>
      </c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  <c r="AA25" s="86"/>
      <c r="AB25" s="140"/>
    </row>
    <row r="26" spans="1:30" ht="11.25" customHeight="1" x14ac:dyDescent="0.25">
      <c r="A26" s="141"/>
      <c r="B26" s="262"/>
      <c r="C26" s="262"/>
      <c r="D26" s="262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B26" s="89"/>
    </row>
    <row r="27" spans="1:30" ht="11.25" customHeight="1" x14ac:dyDescent="0.25">
      <c r="A27" s="141"/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B27" s="89"/>
    </row>
    <row r="28" spans="1:30" ht="11.25" customHeight="1" x14ac:dyDescent="0.25">
      <c r="A28" s="141"/>
      <c r="B28" s="262"/>
      <c r="C28" s="262"/>
      <c r="D28" s="262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B28" s="89"/>
    </row>
    <row r="29" spans="1:30" ht="5.25" customHeight="1" x14ac:dyDescent="0.25">
      <c r="A29" s="133"/>
      <c r="B29" s="144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02"/>
      <c r="AA29" s="102"/>
      <c r="AB29" s="134"/>
    </row>
    <row r="30" spans="1:30" ht="12" customHeight="1" x14ac:dyDescent="0.25">
      <c r="A30" s="80" t="s">
        <v>146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5"/>
      <c r="M30" s="139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140"/>
    </row>
    <row r="31" spans="1:30" ht="12" customHeight="1" x14ac:dyDescent="0.25">
      <c r="A31" s="141"/>
      <c r="C31" s="136" t="s">
        <v>147</v>
      </c>
      <c r="L31" s="146"/>
      <c r="M31" s="90"/>
      <c r="O31" s="136" t="s">
        <v>148</v>
      </c>
      <c r="P31" s="136"/>
      <c r="AB31" s="89"/>
    </row>
    <row r="32" spans="1:30" ht="12" customHeight="1" x14ac:dyDescent="0.25">
      <c r="A32" s="141"/>
      <c r="C32" s="136" t="s">
        <v>149</v>
      </c>
      <c r="L32" s="146"/>
      <c r="M32" s="90"/>
      <c r="O32" s="136" t="s">
        <v>150</v>
      </c>
      <c r="P32" s="136"/>
      <c r="AB32" s="89"/>
    </row>
    <row r="33" spans="1:28" ht="12" customHeight="1" x14ac:dyDescent="0.25">
      <c r="A33" s="141"/>
      <c r="C33" s="136" t="s">
        <v>151</v>
      </c>
      <c r="L33" s="146"/>
      <c r="M33" s="90"/>
      <c r="O33" s="136" t="s">
        <v>152</v>
      </c>
      <c r="P33" s="136"/>
      <c r="AB33" s="89"/>
    </row>
    <row r="34" spans="1:28" ht="12" customHeight="1" x14ac:dyDescent="0.25">
      <c r="A34" s="141"/>
      <c r="C34" s="136" t="s">
        <v>153</v>
      </c>
      <c r="L34" s="146"/>
      <c r="M34" s="90"/>
      <c r="O34" s="136" t="s">
        <v>154</v>
      </c>
      <c r="P34" s="136"/>
      <c r="AB34" s="89"/>
    </row>
    <row r="35" spans="1:28" ht="12" customHeight="1" x14ac:dyDescent="0.25">
      <c r="A35" s="141"/>
      <c r="C35" s="136" t="s">
        <v>155</v>
      </c>
      <c r="L35" s="146"/>
      <c r="M35" s="90"/>
      <c r="O35" s="136" t="s">
        <v>156</v>
      </c>
      <c r="P35" s="136"/>
      <c r="AB35" s="89"/>
    </row>
    <row r="36" spans="1:28" ht="12" customHeight="1" x14ac:dyDescent="0.3">
      <c r="A36" s="141"/>
      <c r="C36" s="136" t="s">
        <v>157</v>
      </c>
      <c r="L36" s="146"/>
      <c r="M36" s="90"/>
      <c r="O36" s="147"/>
      <c r="P36" s="147"/>
      <c r="Q36" s="148"/>
      <c r="R36" s="148"/>
      <c r="S36" s="148"/>
      <c r="T36" s="148"/>
      <c r="U36" s="148"/>
      <c r="V36" s="148"/>
      <c r="W36" s="148"/>
      <c r="X36" s="148"/>
      <c r="Y36" s="148"/>
      <c r="AB36" s="89"/>
    </row>
    <row r="37" spans="1:28" ht="12" customHeight="1" x14ac:dyDescent="0.25">
      <c r="A37" s="149"/>
      <c r="B37" s="150"/>
      <c r="C37" s="150"/>
      <c r="D37" s="150"/>
      <c r="E37" s="150"/>
      <c r="F37" s="150"/>
      <c r="G37" s="150"/>
      <c r="H37" s="150"/>
      <c r="I37" s="150"/>
      <c r="J37" s="150"/>
      <c r="K37" s="150"/>
      <c r="L37" s="151"/>
      <c r="M37" s="150"/>
      <c r="N37" s="150"/>
      <c r="O37" s="150"/>
      <c r="P37" s="150"/>
      <c r="Q37" s="150"/>
      <c r="R37" s="150"/>
      <c r="S37" s="150"/>
      <c r="T37" s="150"/>
      <c r="U37" s="150"/>
      <c r="V37" s="150"/>
      <c r="W37" s="150"/>
      <c r="X37" s="150"/>
      <c r="Y37" s="150"/>
      <c r="Z37" s="150"/>
      <c r="AA37" s="150"/>
      <c r="AB37" s="152"/>
    </row>
    <row r="38" spans="1:28" ht="6" customHeight="1" x14ac:dyDescent="0.25"/>
    <row r="39" spans="1:28" ht="9.75" customHeight="1" x14ac:dyDescent="0.25">
      <c r="A39" s="271" t="s">
        <v>158</v>
      </c>
      <c r="B39" s="271"/>
      <c r="C39" s="271"/>
      <c r="D39" s="271"/>
      <c r="E39" s="272" t="s">
        <v>159</v>
      </c>
      <c r="F39" s="272"/>
      <c r="G39" s="272"/>
      <c r="H39" s="272"/>
      <c r="I39" s="272" t="s">
        <v>160</v>
      </c>
      <c r="J39" s="272"/>
      <c r="K39" s="272"/>
      <c r="L39" s="272"/>
      <c r="M39" s="153" t="s">
        <v>161</v>
      </c>
      <c r="N39" s="154"/>
      <c r="O39" s="155"/>
      <c r="P39" s="156" t="s">
        <v>161</v>
      </c>
      <c r="Q39" s="156"/>
      <c r="R39" s="156"/>
      <c r="S39" s="153" t="s">
        <v>162</v>
      </c>
      <c r="T39" s="154"/>
      <c r="U39" s="155"/>
      <c r="V39" s="153" t="s">
        <v>163</v>
      </c>
      <c r="W39" s="154"/>
      <c r="X39" s="155"/>
      <c r="Y39" s="153" t="s">
        <v>164</v>
      </c>
      <c r="Z39" s="157"/>
      <c r="AA39" s="154"/>
      <c r="AB39" s="157"/>
    </row>
    <row r="40" spans="1:28" ht="9.75" customHeight="1" x14ac:dyDescent="0.25">
      <c r="A40" s="271"/>
      <c r="B40" s="271"/>
      <c r="C40" s="271"/>
      <c r="D40" s="271"/>
      <c r="E40" s="272"/>
      <c r="F40" s="272"/>
      <c r="G40" s="272"/>
      <c r="H40" s="272"/>
      <c r="I40" s="272"/>
      <c r="J40" s="272"/>
      <c r="K40" s="272"/>
      <c r="L40" s="272"/>
      <c r="M40" s="158" t="s">
        <v>165</v>
      </c>
      <c r="N40" s="159"/>
      <c r="O40" s="160"/>
      <c r="P40" s="161" t="s">
        <v>166</v>
      </c>
      <c r="Q40" s="161"/>
      <c r="R40" s="161"/>
      <c r="S40" s="158" t="s">
        <v>167</v>
      </c>
      <c r="T40" s="159"/>
      <c r="U40" s="160"/>
      <c r="V40" s="158" t="s">
        <v>168</v>
      </c>
      <c r="W40" s="159"/>
      <c r="X40" s="160"/>
      <c r="Y40" s="158" t="s">
        <v>169</v>
      </c>
      <c r="Z40" s="162"/>
      <c r="AA40" s="159"/>
      <c r="AB40" s="162"/>
    </row>
    <row r="41" spans="1:28" ht="9.75" customHeight="1" x14ac:dyDescent="0.25">
      <c r="A41" s="271"/>
      <c r="B41" s="271"/>
      <c r="C41" s="271"/>
      <c r="D41" s="271"/>
      <c r="E41" s="272"/>
      <c r="F41" s="272"/>
      <c r="G41" s="272"/>
      <c r="H41" s="272"/>
      <c r="I41" s="272"/>
      <c r="J41" s="272"/>
      <c r="K41" s="272"/>
      <c r="L41" s="272"/>
      <c r="M41" s="163" t="s">
        <v>170</v>
      </c>
      <c r="N41" s="164"/>
      <c r="O41" s="165"/>
      <c r="P41" s="166" t="s">
        <v>171</v>
      </c>
      <c r="Q41" s="166"/>
      <c r="R41" s="166"/>
      <c r="S41" s="163" t="s">
        <v>172</v>
      </c>
      <c r="T41" s="164"/>
      <c r="U41" s="165"/>
      <c r="V41" s="163" t="s">
        <v>173</v>
      </c>
      <c r="W41" s="164"/>
      <c r="X41" s="165"/>
      <c r="Y41" s="163" t="s">
        <v>174</v>
      </c>
      <c r="Z41" s="167"/>
      <c r="AA41" s="168"/>
      <c r="AB41" s="169"/>
    </row>
    <row r="42" spans="1:28" ht="15" customHeight="1" x14ac:dyDescent="0.25">
      <c r="A42" s="273"/>
      <c r="B42" s="273"/>
      <c r="C42" s="273"/>
      <c r="D42" s="273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274"/>
      <c r="T42" s="274"/>
      <c r="U42" s="274"/>
      <c r="V42" s="274"/>
      <c r="W42" s="274"/>
      <c r="X42" s="274"/>
      <c r="Y42" s="275"/>
      <c r="Z42" s="275"/>
      <c r="AA42" s="275"/>
      <c r="AB42" s="275"/>
    </row>
    <row r="43" spans="1:28" ht="4.5" customHeight="1" x14ac:dyDescent="0.25">
      <c r="A43" s="141"/>
      <c r="AB43" s="89"/>
    </row>
    <row r="44" spans="1:28" x14ac:dyDescent="0.25">
      <c r="A44" s="141"/>
      <c r="C44" s="126" t="s">
        <v>175</v>
      </c>
      <c r="O44" s="126" t="s">
        <v>176</v>
      </c>
      <c r="P44" s="126"/>
      <c r="Q44" s="126"/>
      <c r="R44" s="126"/>
      <c r="S44" s="126"/>
      <c r="T44" s="136"/>
      <c r="AB44" s="89"/>
    </row>
    <row r="45" spans="1:28" x14ac:dyDescent="0.25">
      <c r="A45" s="141"/>
      <c r="C45" s="126" t="s">
        <v>177</v>
      </c>
      <c r="O45" s="126" t="s">
        <v>178</v>
      </c>
      <c r="P45" s="126"/>
      <c r="Q45" s="126"/>
      <c r="R45" s="126"/>
      <c r="S45" s="126"/>
      <c r="T45" s="136"/>
      <c r="AB45" s="89"/>
    </row>
    <row r="46" spans="1:28" x14ac:dyDescent="0.25">
      <c r="A46" s="141"/>
      <c r="C46" s="126" t="s">
        <v>179</v>
      </c>
      <c r="O46" s="126"/>
      <c r="P46" s="126"/>
      <c r="Q46" s="126"/>
      <c r="S46" s="126" t="s">
        <v>180</v>
      </c>
      <c r="T46" s="136"/>
      <c r="AB46" s="89"/>
    </row>
    <row r="47" spans="1:28" x14ac:dyDescent="0.25">
      <c r="A47" s="141"/>
      <c r="C47" s="126" t="s">
        <v>181</v>
      </c>
      <c r="O47" s="126"/>
      <c r="P47" s="126"/>
      <c r="Q47" s="126"/>
      <c r="S47" s="126" t="s">
        <v>182</v>
      </c>
      <c r="T47" s="136"/>
      <c r="AB47" s="89"/>
    </row>
    <row r="48" spans="1:28" ht="14.25" customHeight="1" x14ac:dyDescent="0.25">
      <c r="A48" s="141"/>
      <c r="O48" s="126"/>
      <c r="P48" s="126"/>
      <c r="Q48" s="126"/>
      <c r="S48" s="126" t="s">
        <v>183</v>
      </c>
      <c r="T48" s="136"/>
      <c r="AB48" s="89"/>
    </row>
    <row r="49" spans="1:30" ht="3.75" customHeight="1" x14ac:dyDescent="0.25">
      <c r="A49" s="149"/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70"/>
      <c r="P49" s="170"/>
      <c r="Q49" s="170"/>
      <c r="R49" s="170"/>
      <c r="S49" s="170"/>
      <c r="T49" s="150"/>
      <c r="U49" s="150"/>
      <c r="V49" s="150"/>
      <c r="W49" s="150"/>
      <c r="X49" s="150"/>
      <c r="Y49" s="150"/>
      <c r="Z49" s="150"/>
      <c r="AA49" s="150"/>
      <c r="AB49" s="152"/>
    </row>
    <row r="50" spans="1:30" ht="7.5" customHeight="1" x14ac:dyDescent="0.25">
      <c r="A50" s="126"/>
      <c r="B50" s="126"/>
      <c r="C50" s="126"/>
      <c r="D50" s="126"/>
      <c r="E50" s="126"/>
      <c r="F50" s="126"/>
      <c r="G50" s="126"/>
      <c r="H50" s="171"/>
      <c r="I50" s="171"/>
      <c r="J50" s="171"/>
      <c r="K50" s="171"/>
      <c r="L50" s="171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</row>
    <row r="51" spans="1:30" ht="16.5" customHeight="1" x14ac:dyDescent="0.25">
      <c r="A51" s="172" t="s">
        <v>184</v>
      </c>
      <c r="B51" s="173"/>
      <c r="C51" s="173"/>
      <c r="D51" s="173"/>
      <c r="E51" s="173"/>
      <c r="F51" s="173"/>
      <c r="G51" s="173"/>
      <c r="H51" s="276" t="s">
        <v>185</v>
      </c>
      <c r="I51" s="276"/>
      <c r="J51" s="276"/>
      <c r="K51" s="276"/>
      <c r="L51" s="276"/>
      <c r="M51" s="173" t="s">
        <v>186</v>
      </c>
      <c r="N51" s="277" t="s">
        <v>187</v>
      </c>
      <c r="O51" s="277"/>
      <c r="P51" s="277"/>
      <c r="Q51" s="173" t="s">
        <v>188</v>
      </c>
      <c r="R51" s="277" t="s">
        <v>189</v>
      </c>
      <c r="S51" s="277"/>
      <c r="T51" s="277"/>
      <c r="U51" s="277"/>
      <c r="V51" s="173" t="s">
        <v>190</v>
      </c>
      <c r="W51" s="173"/>
      <c r="X51" s="173"/>
      <c r="Y51" s="278">
        <v>45809</v>
      </c>
      <c r="Z51" s="278"/>
      <c r="AA51" s="278"/>
      <c r="AB51" s="278"/>
      <c r="AC51" s="126"/>
      <c r="AD51" s="126"/>
    </row>
    <row r="52" spans="1:30" ht="16.5" customHeight="1" x14ac:dyDescent="0.25">
      <c r="A52" s="174" t="s">
        <v>184</v>
      </c>
      <c r="B52" s="175"/>
      <c r="C52" s="175"/>
      <c r="D52" s="175"/>
      <c r="E52" s="175"/>
      <c r="F52" s="175"/>
      <c r="G52" s="175"/>
      <c r="H52" s="280" t="s">
        <v>185</v>
      </c>
      <c r="I52" s="280"/>
      <c r="J52" s="280"/>
      <c r="K52" s="280"/>
      <c r="L52" s="280"/>
      <c r="M52" s="175" t="s">
        <v>186</v>
      </c>
      <c r="N52" s="281" t="s">
        <v>191</v>
      </c>
      <c r="O52" s="281"/>
      <c r="P52" s="281"/>
      <c r="Q52" s="175" t="s">
        <v>188</v>
      </c>
      <c r="R52" s="281" t="s">
        <v>192</v>
      </c>
      <c r="S52" s="281"/>
      <c r="T52" s="281"/>
      <c r="U52" s="281"/>
      <c r="V52" s="175" t="s">
        <v>190</v>
      </c>
      <c r="W52" s="175"/>
      <c r="X52" s="175"/>
      <c r="Y52" s="282">
        <v>45809</v>
      </c>
      <c r="Z52" s="282"/>
      <c r="AA52" s="282"/>
      <c r="AB52" s="282"/>
      <c r="AC52" s="126"/>
      <c r="AD52" s="126"/>
    </row>
    <row r="53" spans="1:30" ht="16.5" customHeight="1" x14ac:dyDescent="0.25">
      <c r="A53" s="174" t="s">
        <v>193</v>
      </c>
      <c r="B53" s="176"/>
      <c r="C53" s="176"/>
      <c r="D53" s="176"/>
      <c r="E53" s="176"/>
      <c r="F53" s="176"/>
      <c r="G53" s="177"/>
      <c r="H53" s="283" t="s">
        <v>185</v>
      </c>
      <c r="I53" s="283"/>
      <c r="J53" s="283"/>
      <c r="K53" s="283"/>
      <c r="L53" s="283"/>
      <c r="M53" s="176" t="s">
        <v>186</v>
      </c>
      <c r="N53" s="284" t="s">
        <v>194</v>
      </c>
      <c r="O53" s="284"/>
      <c r="P53" s="284"/>
      <c r="Q53" s="177" t="s">
        <v>188</v>
      </c>
      <c r="R53" s="284" t="s">
        <v>195</v>
      </c>
      <c r="S53" s="284"/>
      <c r="T53" s="284"/>
      <c r="U53" s="284"/>
      <c r="V53" s="175" t="s">
        <v>190</v>
      </c>
      <c r="W53" s="175"/>
      <c r="X53" s="175"/>
      <c r="Y53" s="282">
        <v>45809</v>
      </c>
      <c r="Z53" s="282"/>
      <c r="AA53" s="282"/>
      <c r="AB53" s="282"/>
    </row>
    <row r="54" spans="1:30" ht="9" customHeight="1" x14ac:dyDescent="0.25">
      <c r="A54" s="178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9"/>
    </row>
    <row r="55" spans="1:30" x14ac:dyDescent="0.25">
      <c r="A55" s="178"/>
      <c r="C55" s="126" t="s">
        <v>196</v>
      </c>
      <c r="D55" s="126"/>
      <c r="E55" s="126"/>
      <c r="F55" s="126"/>
      <c r="G55" s="126"/>
      <c r="H55" s="126"/>
      <c r="J55" s="126" t="s">
        <v>197</v>
      </c>
      <c r="K55" s="126"/>
      <c r="L55" s="126"/>
      <c r="M55" s="126"/>
      <c r="N55" s="126"/>
      <c r="O55" s="126"/>
      <c r="P55" s="126"/>
      <c r="Z55" s="126"/>
      <c r="AA55" s="126"/>
      <c r="AB55" s="129"/>
    </row>
    <row r="56" spans="1:30" ht="10.5" customHeight="1" x14ac:dyDescent="0.25">
      <c r="A56" s="178"/>
      <c r="B56" s="126"/>
      <c r="C56" s="126"/>
      <c r="D56" s="126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9"/>
    </row>
    <row r="57" spans="1:30" x14ac:dyDescent="0.25">
      <c r="A57" s="178"/>
      <c r="C57" s="126" t="s">
        <v>198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9"/>
    </row>
    <row r="58" spans="1:30" ht="9" customHeight="1" x14ac:dyDescent="0.25">
      <c r="A58" s="178"/>
      <c r="B58" s="126"/>
      <c r="C58" s="126"/>
      <c r="D58" s="126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9"/>
    </row>
    <row r="59" spans="1:30" x14ac:dyDescent="0.25">
      <c r="A59" s="178"/>
      <c r="C59" s="126" t="s">
        <v>199</v>
      </c>
      <c r="D59" s="126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9"/>
    </row>
    <row r="60" spans="1:30" ht="9" customHeight="1" x14ac:dyDescent="0.25">
      <c r="A60" s="178"/>
      <c r="B60" s="126"/>
      <c r="C60" s="126"/>
      <c r="D60" s="126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T60" s="126"/>
      <c r="U60" s="126"/>
      <c r="V60" s="126"/>
      <c r="W60" s="126"/>
      <c r="X60" s="126"/>
      <c r="Y60" s="126"/>
      <c r="Z60" s="126"/>
      <c r="AA60" s="126"/>
      <c r="AB60" s="129"/>
    </row>
    <row r="61" spans="1:30" x14ac:dyDescent="0.25">
      <c r="A61" s="179"/>
      <c r="B61" s="180" t="s">
        <v>200</v>
      </c>
      <c r="C61" s="150"/>
      <c r="D61" s="170"/>
      <c r="E61" s="170"/>
      <c r="F61" s="170"/>
      <c r="G61" s="170"/>
      <c r="H61" s="170"/>
      <c r="I61" s="170"/>
      <c r="J61" s="181"/>
      <c r="K61" s="279">
        <f ca="1">DATE(YEAR(O3)+1,MONTH(O3),DAY(O3))</f>
        <v>46678</v>
      </c>
      <c r="L61" s="279"/>
      <c r="M61" s="279"/>
      <c r="N61" s="170"/>
      <c r="O61" s="170"/>
      <c r="P61" s="170"/>
      <c r="Q61" s="170"/>
      <c r="R61" s="150"/>
      <c r="S61" s="150"/>
      <c r="T61" s="150"/>
      <c r="U61" s="150"/>
      <c r="V61" s="170"/>
      <c r="W61" s="170"/>
      <c r="X61" s="170"/>
      <c r="Y61" s="170"/>
      <c r="Z61" s="170"/>
      <c r="AA61" s="170"/>
      <c r="AB61" s="182"/>
    </row>
    <row r="62" spans="1:30" x14ac:dyDescent="0.25">
      <c r="A62" s="183"/>
      <c r="B62" s="184" t="s">
        <v>201</v>
      </c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6"/>
      <c r="N62" s="185"/>
      <c r="O62" s="184" t="s">
        <v>201</v>
      </c>
      <c r="P62" s="185"/>
      <c r="Q62" s="185"/>
      <c r="R62" s="185"/>
      <c r="S62" s="187"/>
      <c r="T62" s="185"/>
      <c r="U62" s="185"/>
      <c r="V62" s="185"/>
      <c r="W62" s="185"/>
      <c r="X62" s="185"/>
      <c r="Y62" s="185"/>
      <c r="Z62" s="185"/>
      <c r="AA62" s="185"/>
      <c r="AB62" s="188"/>
    </row>
    <row r="63" spans="1:30" ht="10.5" customHeight="1" x14ac:dyDescent="0.25">
      <c r="A63" s="178"/>
      <c r="J63" s="126"/>
      <c r="K63" s="126"/>
      <c r="L63" s="126"/>
      <c r="M63" s="189"/>
      <c r="N63" s="126"/>
      <c r="O63" s="190"/>
      <c r="P63" s="190"/>
      <c r="Q63" s="190"/>
      <c r="R63" s="190"/>
      <c r="S63" s="190"/>
      <c r="T63" s="190"/>
      <c r="U63" s="191"/>
      <c r="V63" s="190"/>
      <c r="Y63" s="126"/>
      <c r="Z63" s="126"/>
      <c r="AA63" s="126"/>
      <c r="AB63" s="129"/>
    </row>
    <row r="64" spans="1:30" ht="10.5" customHeight="1" x14ac:dyDescent="0.25">
      <c r="A64" s="141"/>
      <c r="B64" s="102"/>
      <c r="C64" s="122"/>
      <c r="D64" s="122"/>
      <c r="E64" s="122"/>
      <c r="F64" s="122"/>
      <c r="G64" s="122"/>
      <c r="H64" s="122"/>
      <c r="I64" s="102"/>
      <c r="M64" s="146"/>
      <c r="O64" s="192"/>
      <c r="P64" s="193"/>
      <c r="Q64" s="193"/>
      <c r="R64" s="193"/>
      <c r="S64" s="193"/>
      <c r="T64" s="193"/>
      <c r="U64" s="193"/>
      <c r="V64" s="192"/>
      <c r="W64" s="126"/>
      <c r="X64" s="126"/>
      <c r="Y64" s="126"/>
      <c r="Z64" s="126"/>
      <c r="AB64" s="89"/>
    </row>
    <row r="65" spans="1:28" ht="12" customHeight="1" x14ac:dyDescent="0.25">
      <c r="A65" s="141"/>
      <c r="B65" s="194" t="s">
        <v>202</v>
      </c>
      <c r="M65" s="146"/>
      <c r="O65" s="194" t="s">
        <v>203</v>
      </c>
      <c r="AB65" s="89"/>
    </row>
    <row r="66" spans="1:28" ht="12" customHeight="1" x14ac:dyDescent="0.25">
      <c r="A66" s="141"/>
      <c r="B66" s="194" t="s">
        <v>204</v>
      </c>
      <c r="M66" s="146"/>
      <c r="O66" s="194" t="s">
        <v>205</v>
      </c>
      <c r="AB66" s="89"/>
    </row>
    <row r="67" spans="1:28" ht="12" customHeight="1" x14ac:dyDescent="0.25">
      <c r="A67" s="149"/>
      <c r="B67" s="150"/>
      <c r="C67" s="150"/>
      <c r="D67" s="150"/>
      <c r="E67" s="150"/>
      <c r="F67" s="150"/>
      <c r="G67" s="150"/>
      <c r="H67" s="150"/>
      <c r="I67" s="150"/>
      <c r="J67" s="150"/>
      <c r="K67" s="150"/>
      <c r="L67" s="150"/>
      <c r="M67" s="151"/>
      <c r="N67" s="150"/>
      <c r="O67" s="195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152"/>
    </row>
  </sheetData>
  <sheetProtection selectLockedCells="1" selectUnlockedCells="1"/>
  <mergeCells count="40">
    <mergeCell ref="K61:M61"/>
    <mergeCell ref="H52:L52"/>
    <mergeCell ref="N52:P52"/>
    <mergeCell ref="R52:U52"/>
    <mergeCell ref="Y52:AB52"/>
    <mergeCell ref="H53:L53"/>
    <mergeCell ref="N53:P53"/>
    <mergeCell ref="R53:U53"/>
    <mergeCell ref="Y53:AB53"/>
    <mergeCell ref="V42:X42"/>
    <mergeCell ref="Y42:AB42"/>
    <mergeCell ref="H51:L51"/>
    <mergeCell ref="N51:P51"/>
    <mergeCell ref="R51:U51"/>
    <mergeCell ref="Y51:AB51"/>
    <mergeCell ref="S42:U42"/>
    <mergeCell ref="A42:D42"/>
    <mergeCell ref="E42:H42"/>
    <mergeCell ref="I42:L42"/>
    <mergeCell ref="M42:O42"/>
    <mergeCell ref="P42:R42"/>
    <mergeCell ref="B21:L23"/>
    <mergeCell ref="O21:Z23"/>
    <mergeCell ref="B26:Z28"/>
    <mergeCell ref="A39:D41"/>
    <mergeCell ref="E39:H41"/>
    <mergeCell ref="I39:L41"/>
    <mergeCell ref="L6:N9"/>
    <mergeCell ref="D11:H11"/>
    <mergeCell ref="L11:P11"/>
    <mergeCell ref="T11:Z11"/>
    <mergeCell ref="F12:H12"/>
    <mergeCell ref="L12:P12"/>
    <mergeCell ref="T12:Y12"/>
    <mergeCell ref="V2:AB3"/>
    <mergeCell ref="A3:G3"/>
    <mergeCell ref="H3:N3"/>
    <mergeCell ref="O3:U3"/>
    <mergeCell ref="A5:G5"/>
    <mergeCell ref="H5:N5"/>
  </mergeCells>
  <printOptions horizontalCentered="1" verticalCentered="1"/>
  <pageMargins left="0.19652777777777777" right="0.23611111111111113" top="0.35416666666666669" bottom="3.9583333333333331E-2" header="0.51181102362204722" footer="0.51181102362204722"/>
  <pageSetup paperSize="9" firstPageNumber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1">
              <controlPr defaultSize="0" autoFill="0" autoLine="0" autoPict="0" altText="">
                <anchor>
                  <from>
                    <xdr:col>12</xdr:col>
                    <xdr:colOff>30480</xdr:colOff>
                    <xdr:row>14</xdr:row>
                    <xdr:rowOff>30480</xdr:rowOff>
                  </from>
                  <to>
                    <xdr:col>12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2">
              <controlPr defaultSize="0" autoFill="0" autoLine="0" autoPict="0" altText="">
                <anchor>
                  <from>
                    <xdr:col>19</xdr:col>
                    <xdr:colOff>30480</xdr:colOff>
                    <xdr:row>14</xdr:row>
                    <xdr:rowOff>30480</xdr:rowOff>
                  </from>
                  <to>
                    <xdr:col>19</xdr:col>
                    <xdr:colOff>198120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Check Box 5">
              <controlPr defaultSize="0" autoFill="0" autoLine="0" autoPict="0" altText="">
                <anchor>
                  <from>
                    <xdr:col>1</xdr:col>
                    <xdr:colOff>30480</xdr:colOff>
                    <xdr:row>17</xdr:row>
                    <xdr:rowOff>30480</xdr:rowOff>
                  </from>
                  <to>
                    <xdr:col>1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Check Box 6">
              <controlPr defaultSize="0" autoFill="0" autoLine="0" autoPict="0" altText="">
                <anchor>
                  <from>
                    <xdr:col>5</xdr:col>
                    <xdr:colOff>30480</xdr:colOff>
                    <xdr:row>17</xdr:row>
                    <xdr:rowOff>30480</xdr:rowOff>
                  </from>
                  <to>
                    <xdr:col>5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Check Box 7">
              <controlPr defaultSize="0" autoFill="0" autoLine="0" autoPict="0" altText="">
                <anchor>
                  <from>
                    <xdr:col>12</xdr:col>
                    <xdr:colOff>30480</xdr:colOff>
                    <xdr:row>17</xdr:row>
                    <xdr:rowOff>30480</xdr:rowOff>
                  </from>
                  <to>
                    <xdr:col>12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Check Box 8">
              <controlPr defaultSize="0" autoFill="0" autoLine="0" autoPict="0" altText="">
                <anchor>
                  <from>
                    <xdr:col>18</xdr:col>
                    <xdr:colOff>30480</xdr:colOff>
                    <xdr:row>17</xdr:row>
                    <xdr:rowOff>30480</xdr:rowOff>
                  </from>
                  <to>
                    <xdr:col>18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0" name="Check Box 9">
              <controlPr defaultSize="0" autoFill="0" autoLine="0" autoPict="0" altText="">
                <anchor>
                  <from>
                    <xdr:col>23</xdr:col>
                    <xdr:colOff>30480</xdr:colOff>
                    <xdr:row>17</xdr:row>
                    <xdr:rowOff>30480</xdr:rowOff>
                  </from>
                  <to>
                    <xdr:col>23</xdr:col>
                    <xdr:colOff>198120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1" name="Check Box 10">
              <controlPr defaultSize="0" autoFill="0" autoLine="0" autoPict="0" altText="">
                <anchor>
                  <from>
                    <xdr:col>1</xdr:col>
                    <xdr:colOff>30480</xdr:colOff>
                    <xdr:row>30</xdr:row>
                    <xdr:rowOff>30480</xdr:rowOff>
                  </from>
                  <to>
                    <xdr:col>1</xdr:col>
                    <xdr:colOff>198120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2" name="Check Box 11">
              <controlPr defaultSize="0" autoFill="0" autoLine="0" autoPict="0" altText="">
                <anchor>
                  <from>
                    <xdr:col>1</xdr:col>
                    <xdr:colOff>30480</xdr:colOff>
                    <xdr:row>31</xdr:row>
                    <xdr:rowOff>30480</xdr:rowOff>
                  </from>
                  <to>
                    <xdr:col>1</xdr:col>
                    <xdr:colOff>198120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3" name="Check Box 12">
              <controlPr defaultSize="0" autoFill="0" autoLine="0" autoPict="0" altText="">
                <anchor>
                  <from>
                    <xdr:col>1</xdr:col>
                    <xdr:colOff>30480</xdr:colOff>
                    <xdr:row>32</xdr:row>
                    <xdr:rowOff>30480</xdr:rowOff>
                  </from>
                  <to>
                    <xdr:col>1</xdr:col>
                    <xdr:colOff>198120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4" name="Check Box 13">
              <controlPr defaultSize="0" autoFill="0" autoLine="0" autoPict="0" altText="">
                <anchor>
                  <from>
                    <xdr:col>1</xdr:col>
                    <xdr:colOff>30480</xdr:colOff>
                    <xdr:row>33</xdr:row>
                    <xdr:rowOff>30480</xdr:rowOff>
                  </from>
                  <to>
                    <xdr:col>1</xdr:col>
                    <xdr:colOff>198120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5" name="Check Box 14">
              <controlPr defaultSize="0" autoFill="0" autoLine="0" autoPict="0" altText="">
                <anchor>
                  <from>
                    <xdr:col>1</xdr:col>
                    <xdr:colOff>30480</xdr:colOff>
                    <xdr:row>34</xdr:row>
                    <xdr:rowOff>30480</xdr:rowOff>
                  </from>
                  <to>
                    <xdr:col>1</xdr:col>
                    <xdr:colOff>198120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6" name="Check Box 15">
              <controlPr defaultSize="0" autoFill="0" autoLine="0" autoPict="0" altText="">
                <anchor>
                  <from>
                    <xdr:col>1</xdr:col>
                    <xdr:colOff>30480</xdr:colOff>
                    <xdr:row>35</xdr:row>
                    <xdr:rowOff>30480</xdr:rowOff>
                  </from>
                  <to>
                    <xdr:col>1</xdr:col>
                    <xdr:colOff>198120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7" name="Check Box 16">
              <controlPr defaultSize="0" autoFill="0" autoLine="0" autoPict="0" altText="">
                <anchor>
                  <from>
                    <xdr:col>13</xdr:col>
                    <xdr:colOff>30480</xdr:colOff>
                    <xdr:row>30</xdr:row>
                    <xdr:rowOff>30480</xdr:rowOff>
                  </from>
                  <to>
                    <xdr:col>13</xdr:col>
                    <xdr:colOff>205740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8" name="Check Box 17">
              <controlPr defaultSize="0" autoFill="0" autoLine="0" autoPict="0" altText="">
                <anchor>
                  <from>
                    <xdr:col>13</xdr:col>
                    <xdr:colOff>30480</xdr:colOff>
                    <xdr:row>31</xdr:row>
                    <xdr:rowOff>30480</xdr:rowOff>
                  </from>
                  <to>
                    <xdr:col>13</xdr:col>
                    <xdr:colOff>205740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9" name="Check Box 18">
              <controlPr defaultSize="0" autoFill="0" autoLine="0" autoPict="0" altText="">
                <anchor>
                  <from>
                    <xdr:col>13</xdr:col>
                    <xdr:colOff>30480</xdr:colOff>
                    <xdr:row>32</xdr:row>
                    <xdr:rowOff>30480</xdr:rowOff>
                  </from>
                  <to>
                    <xdr:col>13</xdr:col>
                    <xdr:colOff>205740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0" name="Check Box 19">
              <controlPr defaultSize="0" autoFill="0" autoLine="0" autoPict="0" altText="">
                <anchor>
                  <from>
                    <xdr:col>13</xdr:col>
                    <xdr:colOff>30480</xdr:colOff>
                    <xdr:row>33</xdr:row>
                    <xdr:rowOff>30480</xdr:rowOff>
                  </from>
                  <to>
                    <xdr:col>13</xdr:col>
                    <xdr:colOff>205740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1" name="Check Box 20">
              <controlPr defaultSize="0" autoFill="0" autoLine="0" autoPict="0" altText="">
                <anchor>
                  <from>
                    <xdr:col>13</xdr:col>
                    <xdr:colOff>30480</xdr:colOff>
                    <xdr:row>34</xdr:row>
                    <xdr:rowOff>30480</xdr:rowOff>
                  </from>
                  <to>
                    <xdr:col>13</xdr:col>
                    <xdr:colOff>205740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2" name="Check Box 22">
              <controlPr defaultSize="0" autoFill="0" autoLine="0" autoPict="0" altText="">
                <anchor>
                  <from>
                    <xdr:col>1</xdr:col>
                    <xdr:colOff>30480</xdr:colOff>
                    <xdr:row>43</xdr:row>
                    <xdr:rowOff>30480</xdr:rowOff>
                  </from>
                  <to>
                    <xdr:col>1</xdr:col>
                    <xdr:colOff>198120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3" name="Check Box 23">
              <controlPr defaultSize="0" autoFill="0" autoLine="0" autoPict="0" altText="">
                <anchor>
                  <from>
                    <xdr:col>1</xdr:col>
                    <xdr:colOff>30480</xdr:colOff>
                    <xdr:row>44</xdr:row>
                    <xdr:rowOff>30480</xdr:rowOff>
                  </from>
                  <to>
                    <xdr:col>1</xdr:col>
                    <xdr:colOff>198120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4" name="Check Box 24">
              <controlPr defaultSize="0" autoFill="0" autoLine="0" autoPict="0" altText="">
                <anchor>
                  <from>
                    <xdr:col>1</xdr:col>
                    <xdr:colOff>30480</xdr:colOff>
                    <xdr:row>45</xdr:row>
                    <xdr:rowOff>30480</xdr:rowOff>
                  </from>
                  <to>
                    <xdr:col>1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5" name="Check Box 25">
              <controlPr defaultSize="0" autoFill="0" autoLine="0" autoPict="0" altText="">
                <anchor>
                  <from>
                    <xdr:col>1</xdr:col>
                    <xdr:colOff>30480</xdr:colOff>
                    <xdr:row>46</xdr:row>
                    <xdr:rowOff>30480</xdr:rowOff>
                  </from>
                  <to>
                    <xdr:col>1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6" name="Check Box 26">
              <controlPr defaultSize="0" autoFill="0" autoLine="0" autoPict="0" altText="">
                <anchor>
                  <from>
                    <xdr:col>13</xdr:col>
                    <xdr:colOff>30480</xdr:colOff>
                    <xdr:row>43</xdr:row>
                    <xdr:rowOff>30480</xdr:rowOff>
                  </from>
                  <to>
                    <xdr:col>13</xdr:col>
                    <xdr:colOff>205740</xdr:colOff>
                    <xdr:row>44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7" name="Check Box 27">
              <controlPr defaultSize="0" autoFill="0" autoLine="0" autoPict="0" altText="">
                <anchor>
                  <from>
                    <xdr:col>17</xdr:col>
                    <xdr:colOff>30480</xdr:colOff>
                    <xdr:row>45</xdr:row>
                    <xdr:rowOff>30480</xdr:rowOff>
                  </from>
                  <to>
                    <xdr:col>17</xdr:col>
                    <xdr:colOff>198120</xdr:colOff>
                    <xdr:row>46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8" name="Check Box 28">
              <controlPr defaultSize="0" autoFill="0" autoLine="0" autoPict="0" altText="">
                <anchor>
                  <from>
                    <xdr:col>17</xdr:col>
                    <xdr:colOff>30480</xdr:colOff>
                    <xdr:row>46</xdr:row>
                    <xdr:rowOff>30480</xdr:rowOff>
                  </from>
                  <to>
                    <xdr:col>17</xdr:col>
                    <xdr:colOff>198120</xdr:colOff>
                    <xdr:row>47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9" name="Check Box 29">
              <controlPr defaultSize="0" autoFill="0" autoLine="0" autoPict="0" altText="">
                <anchor>
                  <from>
                    <xdr:col>17</xdr:col>
                    <xdr:colOff>30480</xdr:colOff>
                    <xdr:row>47</xdr:row>
                    <xdr:rowOff>30480</xdr:rowOff>
                  </from>
                  <to>
                    <xdr:col>17</xdr:col>
                    <xdr:colOff>198120</xdr:colOff>
                    <xdr:row>48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0" name="Check Box 30">
              <controlPr defaultSize="0" autoFill="0" autoLine="0" autoPict="0" altText="">
                <anchor>
                  <from>
                    <xdr:col>1</xdr:col>
                    <xdr:colOff>30480</xdr:colOff>
                    <xdr:row>54</xdr:row>
                    <xdr:rowOff>30480</xdr:rowOff>
                  </from>
                  <to>
                    <xdr:col>1</xdr:col>
                    <xdr:colOff>198120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1" name="Check Box 31">
              <controlPr defaultSize="0" autoFill="0" autoLine="0" autoPict="0" altText="">
                <anchor>
                  <from>
                    <xdr:col>1</xdr:col>
                    <xdr:colOff>30480</xdr:colOff>
                    <xdr:row>56</xdr:row>
                    <xdr:rowOff>30480</xdr:rowOff>
                  </from>
                  <to>
                    <xdr:col>1</xdr:col>
                    <xdr:colOff>198120</xdr:colOff>
                    <xdr:row>57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2" name="Check Box 32">
              <controlPr defaultSize="0" autoFill="0" autoLine="0" autoPict="0" altText="">
                <anchor>
                  <from>
                    <xdr:col>1</xdr:col>
                    <xdr:colOff>30480</xdr:colOff>
                    <xdr:row>58</xdr:row>
                    <xdr:rowOff>30480</xdr:rowOff>
                  </from>
                  <to>
                    <xdr:col>1</xdr:col>
                    <xdr:colOff>198120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3" name="Check Box 33">
              <controlPr defaultSize="0" autoFill="0" autoLine="0" autoPict="0" altText="">
                <anchor>
                  <from>
                    <xdr:col>8</xdr:col>
                    <xdr:colOff>30480</xdr:colOff>
                    <xdr:row>54</xdr:row>
                    <xdr:rowOff>30480</xdr:rowOff>
                  </from>
                  <to>
                    <xdr:col>8</xdr:col>
                    <xdr:colOff>205740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34" name="Button 45">
              <controlPr defaultSize="0" print="0" autoFill="0" autoPict="0" macro="[0]!TypenschildEinlesen">
                <anchor moveWithCells="1" sizeWithCells="1">
                  <from>
                    <xdr:col>28</xdr:col>
                    <xdr:colOff>0</xdr:colOff>
                    <xdr:row>1</xdr:row>
                    <xdr:rowOff>0</xdr:rowOff>
                  </from>
                  <to>
                    <xdr:col>32</xdr:col>
                    <xdr:colOff>83820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35" name="Button 46">
              <controlPr defaultSize="0" print="0" autoFill="0" autoPict="0" macro="[0]!GeraetSpeichern">
                <anchor moveWithCells="1" sizeWithCells="1">
                  <from>
                    <xdr:col>28</xdr:col>
                    <xdr:colOff>0</xdr:colOff>
                    <xdr:row>3</xdr:row>
                    <xdr:rowOff>144780</xdr:rowOff>
                  </from>
                  <to>
                    <xdr:col>32</xdr:col>
                    <xdr:colOff>83820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0A06-CD62-4B77-9C08-F94C6FDF56C8}">
  <sheetPr codeName="Tabelle18"/>
  <dimension ref="A1:L1"/>
  <sheetViews>
    <sheetView workbookViewId="0">
      <selection activeCell="A2" sqref="A2"/>
    </sheetView>
  </sheetViews>
  <sheetFormatPr baseColWidth="10" defaultRowHeight="13.2" x14ac:dyDescent="0.25"/>
  <cols>
    <col min="1" max="1" width="16.77734375" style="198" customWidth="1"/>
    <col min="2" max="12" width="16.77734375" customWidth="1"/>
  </cols>
  <sheetData>
    <row r="1" spans="1:12" s="53" customFormat="1" x14ac:dyDescent="0.25">
      <c r="A1" s="197" t="s">
        <v>518</v>
      </c>
      <c r="B1" s="53" t="s">
        <v>519</v>
      </c>
      <c r="C1" s="53" t="s">
        <v>520</v>
      </c>
      <c r="D1" s="53" t="s">
        <v>521</v>
      </c>
      <c r="E1" s="53" t="s">
        <v>522</v>
      </c>
      <c r="F1" s="53" t="s">
        <v>523</v>
      </c>
      <c r="G1" s="53" t="s">
        <v>524</v>
      </c>
      <c r="H1" s="53" t="s">
        <v>525</v>
      </c>
      <c r="I1" s="53" t="s">
        <v>526</v>
      </c>
      <c r="J1" s="53" t="s">
        <v>527</v>
      </c>
      <c r="K1" s="53" t="s">
        <v>528</v>
      </c>
      <c r="L1" s="53" t="s">
        <v>529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5AE72-9A47-42E0-8D2C-ADC3D0C5BA53}">
  <sheetPr codeName="Tabelle21"/>
  <dimension ref="A1:A40"/>
  <sheetViews>
    <sheetView workbookViewId="0"/>
  </sheetViews>
  <sheetFormatPr baseColWidth="10" defaultRowHeight="13.2" x14ac:dyDescent="0.25"/>
  <cols>
    <col min="1" max="1" width="90.77734375" customWidth="1"/>
  </cols>
  <sheetData>
    <row r="1" spans="1:1" x14ac:dyDescent="0.25">
      <c r="A1" s="53"/>
    </row>
    <row r="4" spans="1:1" x14ac:dyDescent="0.25">
      <c r="A4" s="196"/>
    </row>
    <row r="5" spans="1:1" x14ac:dyDescent="0.25">
      <c r="A5" s="196"/>
    </row>
    <row r="6" spans="1:1" x14ac:dyDescent="0.25">
      <c r="A6" s="196"/>
    </row>
    <row r="7" spans="1:1" x14ac:dyDescent="0.25">
      <c r="A7" s="196"/>
    </row>
    <row r="8" spans="1:1" x14ac:dyDescent="0.25">
      <c r="A8" s="196"/>
    </row>
    <row r="9" spans="1:1" x14ac:dyDescent="0.25">
      <c r="A9" s="196"/>
    </row>
    <row r="10" spans="1:1" x14ac:dyDescent="0.25">
      <c r="A10" s="196"/>
    </row>
    <row r="11" spans="1:1" x14ac:dyDescent="0.25">
      <c r="A11" s="196"/>
    </row>
    <row r="12" spans="1:1" x14ac:dyDescent="0.25">
      <c r="A12" s="196"/>
    </row>
    <row r="13" spans="1:1" x14ac:dyDescent="0.25">
      <c r="A13" s="196"/>
    </row>
    <row r="14" spans="1:1" x14ac:dyDescent="0.25">
      <c r="A14" s="196"/>
    </row>
    <row r="15" spans="1:1" x14ac:dyDescent="0.25">
      <c r="A15" s="196"/>
    </row>
    <row r="16" spans="1:1" x14ac:dyDescent="0.25">
      <c r="A16" s="196"/>
    </row>
    <row r="17" spans="1:1" x14ac:dyDescent="0.25">
      <c r="A17" s="196"/>
    </row>
    <row r="18" spans="1:1" x14ac:dyDescent="0.25">
      <c r="A18" s="196"/>
    </row>
    <row r="19" spans="1:1" x14ac:dyDescent="0.25">
      <c r="A19" s="196"/>
    </row>
    <row r="20" spans="1:1" x14ac:dyDescent="0.25">
      <c r="A20" s="196"/>
    </row>
    <row r="21" spans="1:1" x14ac:dyDescent="0.25">
      <c r="A21" s="196"/>
    </row>
    <row r="22" spans="1:1" x14ac:dyDescent="0.25">
      <c r="A22" s="196"/>
    </row>
    <row r="23" spans="1:1" x14ac:dyDescent="0.25">
      <c r="A23" s="196"/>
    </row>
    <row r="24" spans="1:1" x14ac:dyDescent="0.25">
      <c r="A24" s="196"/>
    </row>
    <row r="25" spans="1:1" x14ac:dyDescent="0.25">
      <c r="A25" s="196"/>
    </row>
    <row r="26" spans="1:1" x14ac:dyDescent="0.25">
      <c r="A26" s="196"/>
    </row>
    <row r="27" spans="1:1" x14ac:dyDescent="0.25">
      <c r="A27" s="196"/>
    </row>
    <row r="28" spans="1:1" x14ac:dyDescent="0.25">
      <c r="A28" s="196"/>
    </row>
    <row r="29" spans="1:1" x14ac:dyDescent="0.25">
      <c r="A29" s="196"/>
    </row>
    <row r="30" spans="1:1" x14ac:dyDescent="0.25">
      <c r="A30" s="196"/>
    </row>
    <row r="31" spans="1:1" x14ac:dyDescent="0.25">
      <c r="A31" s="196"/>
    </row>
    <row r="32" spans="1:1" x14ac:dyDescent="0.25">
      <c r="A32" s="196"/>
    </row>
    <row r="33" spans="1:1" x14ac:dyDescent="0.25">
      <c r="A33" s="196"/>
    </row>
    <row r="34" spans="1:1" x14ac:dyDescent="0.25">
      <c r="A34" s="196"/>
    </row>
    <row r="35" spans="1:1" x14ac:dyDescent="0.25">
      <c r="A35" s="196"/>
    </row>
    <row r="36" spans="1:1" x14ac:dyDescent="0.25">
      <c r="A36" s="196"/>
    </row>
    <row r="37" spans="1:1" x14ac:dyDescent="0.25">
      <c r="A37" s="196"/>
    </row>
    <row r="38" spans="1:1" x14ac:dyDescent="0.25">
      <c r="A38" s="196"/>
    </row>
    <row r="39" spans="1:1" x14ac:dyDescent="0.25">
      <c r="A39" s="196"/>
    </row>
    <row r="40" spans="1:1" x14ac:dyDescent="0.25">
      <c r="A40" s="19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84192-958C-497A-8C92-79B1494DB36B}">
  <sheetPr codeName="Tabelle24"/>
  <dimension ref="A1:A392"/>
  <sheetViews>
    <sheetView workbookViewId="0"/>
  </sheetViews>
  <sheetFormatPr baseColWidth="10" defaultRowHeight="13.2" x14ac:dyDescent="0.25"/>
  <sheetData>
    <row r="1" spans="1:1" x14ac:dyDescent="0.25">
      <c r="A1" s="196" t="s">
        <v>206</v>
      </c>
    </row>
    <row r="2" spans="1:1" x14ac:dyDescent="0.25">
      <c r="A2" s="196" t="s">
        <v>207</v>
      </c>
    </row>
    <row r="3" spans="1:1" x14ac:dyDescent="0.25">
      <c r="A3" s="196" t="s">
        <v>208</v>
      </c>
    </row>
    <row r="4" spans="1:1" x14ac:dyDescent="0.25">
      <c r="A4" s="196" t="s">
        <v>209</v>
      </c>
    </row>
    <row r="5" spans="1:1" x14ac:dyDescent="0.25">
      <c r="A5" s="196" t="s">
        <v>210</v>
      </c>
    </row>
    <row r="6" spans="1:1" x14ac:dyDescent="0.25">
      <c r="A6" s="196" t="s">
        <v>211</v>
      </c>
    </row>
    <row r="7" spans="1:1" x14ac:dyDescent="0.25">
      <c r="A7" s="196" t="s">
        <v>297</v>
      </c>
    </row>
    <row r="8" spans="1:1" x14ac:dyDescent="0.25">
      <c r="A8" s="196" t="s">
        <v>212</v>
      </c>
    </row>
    <row r="9" spans="1:1" x14ac:dyDescent="0.25">
      <c r="A9" s="196" t="s">
        <v>213</v>
      </c>
    </row>
    <row r="10" spans="1:1" x14ac:dyDescent="0.25">
      <c r="A10" s="196" t="s">
        <v>214</v>
      </c>
    </row>
    <row r="11" spans="1:1" x14ac:dyDescent="0.25">
      <c r="A11" s="196" t="s">
        <v>215</v>
      </c>
    </row>
    <row r="12" spans="1:1" x14ac:dyDescent="0.25">
      <c r="A12" s="196" t="s">
        <v>216</v>
      </c>
    </row>
    <row r="13" spans="1:1" x14ac:dyDescent="0.25">
      <c r="A13" s="196" t="s">
        <v>217</v>
      </c>
    </row>
    <row r="14" spans="1:1" x14ac:dyDescent="0.25">
      <c r="A14" s="196" t="s">
        <v>225</v>
      </c>
    </row>
    <row r="15" spans="1:1" x14ac:dyDescent="0.25">
      <c r="A15" s="196" t="s">
        <v>218</v>
      </c>
    </row>
    <row r="16" spans="1:1" x14ac:dyDescent="0.25">
      <c r="A16" s="196" t="s">
        <v>219</v>
      </c>
    </row>
    <row r="17" spans="1:1" x14ac:dyDescent="0.25">
      <c r="A17" s="196" t="s">
        <v>220</v>
      </c>
    </row>
    <row r="18" spans="1:1" x14ac:dyDescent="0.25">
      <c r="A18" s="196" t="s">
        <v>221</v>
      </c>
    </row>
    <row r="19" spans="1:1" x14ac:dyDescent="0.25">
      <c r="A19" s="196" t="s">
        <v>222</v>
      </c>
    </row>
    <row r="20" spans="1:1" x14ac:dyDescent="0.25">
      <c r="A20" s="196" t="s">
        <v>223</v>
      </c>
    </row>
    <row r="21" spans="1:1" x14ac:dyDescent="0.25">
      <c r="A21" s="196" t="s">
        <v>224</v>
      </c>
    </row>
    <row r="22" spans="1:1" x14ac:dyDescent="0.25">
      <c r="A22" s="196" t="s">
        <v>225</v>
      </c>
    </row>
    <row r="23" spans="1:1" x14ac:dyDescent="0.25">
      <c r="A23" s="196" t="s">
        <v>226</v>
      </c>
    </row>
    <row r="24" spans="1:1" x14ac:dyDescent="0.25">
      <c r="A24" s="196" t="s">
        <v>227</v>
      </c>
    </row>
    <row r="25" spans="1:1" x14ac:dyDescent="0.25">
      <c r="A25" s="196" t="s">
        <v>228</v>
      </c>
    </row>
    <row r="26" spans="1:1" x14ac:dyDescent="0.25">
      <c r="A26" s="196" t="s">
        <v>229</v>
      </c>
    </row>
    <row r="27" spans="1:1" x14ac:dyDescent="0.25">
      <c r="A27" s="196" t="s">
        <v>230</v>
      </c>
    </row>
    <row r="28" spans="1:1" x14ac:dyDescent="0.25">
      <c r="A28" s="196" t="s">
        <v>231</v>
      </c>
    </row>
    <row r="29" spans="1:1" x14ac:dyDescent="0.25">
      <c r="A29" s="196" t="s">
        <v>232</v>
      </c>
    </row>
    <row r="30" spans="1:1" x14ac:dyDescent="0.25">
      <c r="A30" s="196" t="s">
        <v>233</v>
      </c>
    </row>
    <row r="31" spans="1:1" x14ac:dyDescent="0.25">
      <c r="A31" s="196" t="s">
        <v>235</v>
      </c>
    </row>
    <row r="32" spans="1:1" x14ac:dyDescent="0.25">
      <c r="A32" s="196" t="s">
        <v>234</v>
      </c>
    </row>
    <row r="33" spans="1:1" x14ac:dyDescent="0.25">
      <c r="A33" s="196" t="s">
        <v>225</v>
      </c>
    </row>
    <row r="34" spans="1:1" x14ac:dyDescent="0.25">
      <c r="A34" s="196" t="s">
        <v>298</v>
      </c>
    </row>
    <row r="35" spans="1:1" x14ac:dyDescent="0.25">
      <c r="A35" s="196" t="s">
        <v>299</v>
      </c>
    </row>
    <row r="36" spans="1:1" x14ac:dyDescent="0.25">
      <c r="A36" s="196" t="s">
        <v>300</v>
      </c>
    </row>
    <row r="37" spans="1:1" x14ac:dyDescent="0.25">
      <c r="A37" s="196" t="s">
        <v>236</v>
      </c>
    </row>
    <row r="38" spans="1:1" x14ac:dyDescent="0.25">
      <c r="A38" s="196" t="s">
        <v>301</v>
      </c>
    </row>
    <row r="39" spans="1:1" x14ac:dyDescent="0.25">
      <c r="A39" s="196" t="s">
        <v>302</v>
      </c>
    </row>
    <row r="40" spans="1:1" x14ac:dyDescent="0.25">
      <c r="A40" s="196" t="s">
        <v>303</v>
      </c>
    </row>
    <row r="41" spans="1:1" x14ac:dyDescent="0.25">
      <c r="A41" s="196" t="s">
        <v>304</v>
      </c>
    </row>
    <row r="42" spans="1:1" x14ac:dyDescent="0.25">
      <c r="A42" s="196" t="s">
        <v>305</v>
      </c>
    </row>
    <row r="43" spans="1:1" x14ac:dyDescent="0.25">
      <c r="A43" s="196" t="s">
        <v>306</v>
      </c>
    </row>
    <row r="44" spans="1:1" x14ac:dyDescent="0.25">
      <c r="A44" s="196" t="s">
        <v>307</v>
      </c>
    </row>
    <row r="45" spans="1:1" x14ac:dyDescent="0.25">
      <c r="A45" s="196" t="s">
        <v>308</v>
      </c>
    </row>
    <row r="46" spans="1:1" x14ac:dyDescent="0.25">
      <c r="A46" s="196" t="s">
        <v>232</v>
      </c>
    </row>
    <row r="47" spans="1:1" x14ac:dyDescent="0.25">
      <c r="A47" s="196" t="s">
        <v>225</v>
      </c>
    </row>
    <row r="48" spans="1:1" x14ac:dyDescent="0.25">
      <c r="A48" s="196" t="s">
        <v>309</v>
      </c>
    </row>
    <row r="49" spans="1:1" x14ac:dyDescent="0.25">
      <c r="A49" s="196" t="s">
        <v>310</v>
      </c>
    </row>
    <row r="50" spans="1:1" x14ac:dyDescent="0.25">
      <c r="A50" s="196" t="s">
        <v>311</v>
      </c>
    </row>
    <row r="51" spans="1:1" x14ac:dyDescent="0.25">
      <c r="A51" s="196" t="s">
        <v>312</v>
      </c>
    </row>
    <row r="52" spans="1:1" x14ac:dyDescent="0.25">
      <c r="A52" s="196" t="s">
        <v>313</v>
      </c>
    </row>
    <row r="53" spans="1:1" x14ac:dyDescent="0.25">
      <c r="A53" s="196" t="s">
        <v>314</v>
      </c>
    </row>
    <row r="54" spans="1:1" x14ac:dyDescent="0.25">
      <c r="A54" s="196" t="s">
        <v>315</v>
      </c>
    </row>
    <row r="55" spans="1:1" x14ac:dyDescent="0.25">
      <c r="A55" s="196" t="s">
        <v>316</v>
      </c>
    </row>
    <row r="56" spans="1:1" x14ac:dyDescent="0.25">
      <c r="A56" s="196" t="s">
        <v>317</v>
      </c>
    </row>
    <row r="57" spans="1:1" x14ac:dyDescent="0.25">
      <c r="A57" s="196" t="s">
        <v>318</v>
      </c>
    </row>
    <row r="58" spans="1:1" x14ac:dyDescent="0.25">
      <c r="A58" s="196" t="s">
        <v>319</v>
      </c>
    </row>
    <row r="59" spans="1:1" x14ac:dyDescent="0.25">
      <c r="A59" s="196" t="s">
        <v>320</v>
      </c>
    </row>
    <row r="60" spans="1:1" x14ac:dyDescent="0.25">
      <c r="A60" s="196" t="s">
        <v>321</v>
      </c>
    </row>
    <row r="61" spans="1:1" x14ac:dyDescent="0.25">
      <c r="A61" s="196" t="s">
        <v>322</v>
      </c>
    </row>
    <row r="62" spans="1:1" x14ac:dyDescent="0.25">
      <c r="A62" s="196" t="s">
        <v>323</v>
      </c>
    </row>
    <row r="63" spans="1:1" x14ac:dyDescent="0.25">
      <c r="A63" s="196" t="s">
        <v>324</v>
      </c>
    </row>
    <row r="64" spans="1:1" x14ac:dyDescent="0.25">
      <c r="A64" s="196" t="s">
        <v>247</v>
      </c>
    </row>
    <row r="65" spans="1:1" x14ac:dyDescent="0.25">
      <c r="A65" s="196" t="s">
        <v>325</v>
      </c>
    </row>
    <row r="66" spans="1:1" x14ac:dyDescent="0.25">
      <c r="A66" s="196" t="s">
        <v>232</v>
      </c>
    </row>
    <row r="67" spans="1:1" x14ac:dyDescent="0.25">
      <c r="A67" s="196" t="s">
        <v>225</v>
      </c>
    </row>
    <row r="68" spans="1:1" x14ac:dyDescent="0.25">
      <c r="A68" s="196" t="s">
        <v>326</v>
      </c>
    </row>
    <row r="69" spans="1:1" x14ac:dyDescent="0.25">
      <c r="A69" s="196" t="s">
        <v>327</v>
      </c>
    </row>
    <row r="70" spans="1:1" x14ac:dyDescent="0.25">
      <c r="A70" s="196" t="s">
        <v>328</v>
      </c>
    </row>
    <row r="71" spans="1:1" x14ac:dyDescent="0.25">
      <c r="A71" s="196" t="s">
        <v>237</v>
      </c>
    </row>
    <row r="72" spans="1:1" x14ac:dyDescent="0.25">
      <c r="A72" s="196" t="s">
        <v>329</v>
      </c>
    </row>
    <row r="73" spans="1:1" x14ac:dyDescent="0.25">
      <c r="A73" s="196" t="s">
        <v>330</v>
      </c>
    </row>
    <row r="74" spans="1:1" x14ac:dyDescent="0.25">
      <c r="A74" s="196" t="s">
        <v>331</v>
      </c>
    </row>
    <row r="75" spans="1:1" x14ac:dyDescent="0.25">
      <c r="A75" s="196" t="s">
        <v>238</v>
      </c>
    </row>
    <row r="76" spans="1:1" x14ac:dyDescent="0.25">
      <c r="A76" s="196" t="s">
        <v>232</v>
      </c>
    </row>
    <row r="77" spans="1:1" x14ac:dyDescent="0.25">
      <c r="A77" s="196" t="s">
        <v>225</v>
      </c>
    </row>
    <row r="78" spans="1:1" x14ac:dyDescent="0.25">
      <c r="A78" s="196" t="s">
        <v>332</v>
      </c>
    </row>
    <row r="79" spans="1:1" x14ac:dyDescent="0.25">
      <c r="A79" s="196" t="s">
        <v>241</v>
      </c>
    </row>
    <row r="80" spans="1:1" x14ac:dyDescent="0.25">
      <c r="A80" s="196" t="s">
        <v>333</v>
      </c>
    </row>
    <row r="81" spans="1:1" x14ac:dyDescent="0.25">
      <c r="A81" s="196" t="s">
        <v>242</v>
      </c>
    </row>
    <row r="82" spans="1:1" x14ac:dyDescent="0.25">
      <c r="A82" s="196" t="s">
        <v>243</v>
      </c>
    </row>
    <row r="83" spans="1:1" x14ac:dyDescent="0.25">
      <c r="A83" s="196" t="s">
        <v>244</v>
      </c>
    </row>
    <row r="84" spans="1:1" x14ac:dyDescent="0.25">
      <c r="A84" s="196" t="s">
        <v>334</v>
      </c>
    </row>
    <row r="85" spans="1:1" x14ac:dyDescent="0.25">
      <c r="A85" s="196" t="s">
        <v>335</v>
      </c>
    </row>
    <row r="86" spans="1:1" x14ac:dyDescent="0.25">
      <c r="A86" s="196" t="s">
        <v>336</v>
      </c>
    </row>
    <row r="87" spans="1:1" x14ac:dyDescent="0.25">
      <c r="A87" s="196" t="s">
        <v>245</v>
      </c>
    </row>
    <row r="88" spans="1:1" x14ac:dyDescent="0.25">
      <c r="A88" s="196" t="s">
        <v>337</v>
      </c>
    </row>
    <row r="89" spans="1:1" x14ac:dyDescent="0.25">
      <c r="A89" s="196" t="s">
        <v>338</v>
      </c>
    </row>
    <row r="90" spans="1:1" x14ac:dyDescent="0.25">
      <c r="A90" s="196" t="s">
        <v>339</v>
      </c>
    </row>
    <row r="91" spans="1:1" x14ac:dyDescent="0.25">
      <c r="A91" s="196" t="s">
        <v>340</v>
      </c>
    </row>
    <row r="92" spans="1:1" x14ac:dyDescent="0.25">
      <c r="A92" s="196" t="s">
        <v>341</v>
      </c>
    </row>
    <row r="93" spans="1:1" x14ac:dyDescent="0.25">
      <c r="A93" s="196" t="s">
        <v>342</v>
      </c>
    </row>
    <row r="94" spans="1:1" x14ac:dyDescent="0.25">
      <c r="A94" s="196" t="s">
        <v>343</v>
      </c>
    </row>
    <row r="95" spans="1:1" x14ac:dyDescent="0.25">
      <c r="A95" s="196" t="s">
        <v>344</v>
      </c>
    </row>
    <row r="96" spans="1:1" x14ac:dyDescent="0.25">
      <c r="A96" s="196" t="s">
        <v>345</v>
      </c>
    </row>
    <row r="97" spans="1:1" x14ac:dyDescent="0.25">
      <c r="A97" s="196" t="s">
        <v>346</v>
      </c>
    </row>
    <row r="98" spans="1:1" x14ac:dyDescent="0.25">
      <c r="A98" s="196" t="s">
        <v>347</v>
      </c>
    </row>
    <row r="99" spans="1:1" x14ac:dyDescent="0.25">
      <c r="A99" s="196" t="s">
        <v>348</v>
      </c>
    </row>
    <row r="100" spans="1:1" x14ac:dyDescent="0.25">
      <c r="A100" s="196" t="s">
        <v>247</v>
      </c>
    </row>
    <row r="101" spans="1:1" x14ac:dyDescent="0.25">
      <c r="A101" s="196" t="s">
        <v>349</v>
      </c>
    </row>
    <row r="102" spans="1:1" x14ac:dyDescent="0.25">
      <c r="A102" s="196" t="s">
        <v>350</v>
      </c>
    </row>
    <row r="103" spans="1:1" x14ac:dyDescent="0.25">
      <c r="A103" s="196" t="s">
        <v>232</v>
      </c>
    </row>
    <row r="104" spans="1:1" x14ac:dyDescent="0.25">
      <c r="A104" s="196" t="s">
        <v>225</v>
      </c>
    </row>
    <row r="105" spans="1:1" x14ac:dyDescent="0.25">
      <c r="A105" s="196" t="s">
        <v>239</v>
      </c>
    </row>
    <row r="106" spans="1:1" x14ac:dyDescent="0.25">
      <c r="A106" s="196" t="s">
        <v>240</v>
      </c>
    </row>
    <row r="107" spans="1:1" x14ac:dyDescent="0.25">
      <c r="A107" s="196" t="s">
        <v>351</v>
      </c>
    </row>
    <row r="108" spans="1:1" x14ac:dyDescent="0.25">
      <c r="A108" s="196" t="s">
        <v>236</v>
      </c>
    </row>
    <row r="109" spans="1:1" x14ac:dyDescent="0.25">
      <c r="A109" s="196" t="s">
        <v>352</v>
      </c>
    </row>
    <row r="110" spans="1:1" x14ac:dyDescent="0.25">
      <c r="A110" s="196" t="s">
        <v>353</v>
      </c>
    </row>
    <row r="111" spans="1:1" x14ac:dyDescent="0.25">
      <c r="A111" s="196" t="s">
        <v>354</v>
      </c>
    </row>
    <row r="112" spans="1:1" x14ac:dyDescent="0.25">
      <c r="A112" s="196" t="s">
        <v>355</v>
      </c>
    </row>
    <row r="113" spans="1:1" x14ac:dyDescent="0.25">
      <c r="A113" s="196" t="s">
        <v>356</v>
      </c>
    </row>
    <row r="114" spans="1:1" x14ac:dyDescent="0.25">
      <c r="A114" s="196" t="s">
        <v>246</v>
      </c>
    </row>
    <row r="115" spans="1:1" x14ac:dyDescent="0.25">
      <c r="A115" s="196" t="s">
        <v>357</v>
      </c>
    </row>
    <row r="116" spans="1:1" x14ac:dyDescent="0.25">
      <c r="A116" s="196" t="s">
        <v>358</v>
      </c>
    </row>
    <row r="117" spans="1:1" x14ac:dyDescent="0.25">
      <c r="A117" s="196" t="s">
        <v>359</v>
      </c>
    </row>
    <row r="118" spans="1:1" x14ac:dyDescent="0.25">
      <c r="A118" s="196" t="s">
        <v>360</v>
      </c>
    </row>
    <row r="119" spans="1:1" x14ac:dyDescent="0.25">
      <c r="A119" s="196" t="s">
        <v>361</v>
      </c>
    </row>
    <row r="120" spans="1:1" x14ac:dyDescent="0.25">
      <c r="A120" s="196" t="s">
        <v>247</v>
      </c>
    </row>
    <row r="121" spans="1:1" x14ac:dyDescent="0.25">
      <c r="A121" s="196" t="s">
        <v>362</v>
      </c>
    </row>
    <row r="122" spans="1:1" x14ac:dyDescent="0.25">
      <c r="A122" s="196" t="s">
        <v>486</v>
      </c>
    </row>
    <row r="123" spans="1:1" x14ac:dyDescent="0.25">
      <c r="A123" s="196" t="s">
        <v>487</v>
      </c>
    </row>
    <row r="124" spans="1:1" x14ac:dyDescent="0.25">
      <c r="A124" s="196" t="s">
        <v>488</v>
      </c>
    </row>
    <row r="125" spans="1:1" x14ac:dyDescent="0.25">
      <c r="A125" s="196" t="s">
        <v>489</v>
      </c>
    </row>
    <row r="126" spans="1:1" x14ac:dyDescent="0.25">
      <c r="A126" s="196" t="s">
        <v>490</v>
      </c>
    </row>
    <row r="127" spans="1:1" x14ac:dyDescent="0.25">
      <c r="A127" s="196" t="s">
        <v>491</v>
      </c>
    </row>
    <row r="128" spans="1:1" x14ac:dyDescent="0.25">
      <c r="A128" s="196" t="s">
        <v>363</v>
      </c>
    </row>
    <row r="129" spans="1:1" x14ac:dyDescent="0.25">
      <c r="A129" s="196" t="s">
        <v>364</v>
      </c>
    </row>
    <row r="130" spans="1:1" x14ac:dyDescent="0.25">
      <c r="A130" s="196" t="s">
        <v>492</v>
      </c>
    </row>
    <row r="131" spans="1:1" x14ac:dyDescent="0.25">
      <c r="A131" s="196" t="s">
        <v>493</v>
      </c>
    </row>
    <row r="132" spans="1:1" x14ac:dyDescent="0.25">
      <c r="A132" s="196" t="s">
        <v>494</v>
      </c>
    </row>
    <row r="133" spans="1:1" x14ac:dyDescent="0.25">
      <c r="A133" s="196" t="s">
        <v>495</v>
      </c>
    </row>
    <row r="134" spans="1:1" x14ac:dyDescent="0.25">
      <c r="A134" s="196" t="s">
        <v>496</v>
      </c>
    </row>
    <row r="135" spans="1:1" x14ac:dyDescent="0.25">
      <c r="A135" s="196" t="s">
        <v>497</v>
      </c>
    </row>
    <row r="136" spans="1:1" x14ac:dyDescent="0.25">
      <c r="A136" s="196" t="s">
        <v>498</v>
      </c>
    </row>
    <row r="137" spans="1:1" x14ac:dyDescent="0.25">
      <c r="A137" s="196" t="s">
        <v>499</v>
      </c>
    </row>
    <row r="138" spans="1:1" x14ac:dyDescent="0.25">
      <c r="A138" s="196" t="s">
        <v>500</v>
      </c>
    </row>
    <row r="139" spans="1:1" x14ac:dyDescent="0.25">
      <c r="A139" s="196" t="s">
        <v>501</v>
      </c>
    </row>
    <row r="140" spans="1:1" x14ac:dyDescent="0.25">
      <c r="A140" s="196" t="s">
        <v>502</v>
      </c>
    </row>
    <row r="141" spans="1:1" x14ac:dyDescent="0.25">
      <c r="A141" s="196" t="s">
        <v>503</v>
      </c>
    </row>
    <row r="142" spans="1:1" x14ac:dyDescent="0.25">
      <c r="A142" s="196" t="s">
        <v>504</v>
      </c>
    </row>
    <row r="143" spans="1:1" x14ac:dyDescent="0.25">
      <c r="A143" s="196" t="s">
        <v>505</v>
      </c>
    </row>
    <row r="144" spans="1:1" x14ac:dyDescent="0.25">
      <c r="A144" s="196" t="s">
        <v>506</v>
      </c>
    </row>
    <row r="145" spans="1:1" x14ac:dyDescent="0.25">
      <c r="A145" s="196" t="s">
        <v>507</v>
      </c>
    </row>
    <row r="146" spans="1:1" x14ac:dyDescent="0.25">
      <c r="A146" s="196" t="s">
        <v>508</v>
      </c>
    </row>
    <row r="147" spans="1:1" x14ac:dyDescent="0.25">
      <c r="A147" s="196" t="s">
        <v>509</v>
      </c>
    </row>
    <row r="148" spans="1:1" x14ac:dyDescent="0.25">
      <c r="A148" s="196" t="s">
        <v>510</v>
      </c>
    </row>
    <row r="149" spans="1:1" x14ac:dyDescent="0.25">
      <c r="A149" s="196" t="s">
        <v>263</v>
      </c>
    </row>
    <row r="150" spans="1:1" x14ac:dyDescent="0.25">
      <c r="A150" s="196" t="s">
        <v>247</v>
      </c>
    </row>
    <row r="151" spans="1:1" x14ac:dyDescent="0.25">
      <c r="A151" s="196" t="s">
        <v>511</v>
      </c>
    </row>
    <row r="152" spans="1:1" x14ac:dyDescent="0.25">
      <c r="A152" s="196" t="s">
        <v>365</v>
      </c>
    </row>
    <row r="153" spans="1:1" x14ac:dyDescent="0.25">
      <c r="A153" s="196" t="s">
        <v>512</v>
      </c>
    </row>
    <row r="154" spans="1:1" x14ac:dyDescent="0.25">
      <c r="A154" s="196" t="s">
        <v>513</v>
      </c>
    </row>
    <row r="155" spans="1:1" x14ac:dyDescent="0.25">
      <c r="A155" s="196" t="s">
        <v>366</v>
      </c>
    </row>
    <row r="156" spans="1:1" x14ac:dyDescent="0.25">
      <c r="A156" s="196" t="s">
        <v>514</v>
      </c>
    </row>
    <row r="157" spans="1:1" x14ac:dyDescent="0.25">
      <c r="A157" s="196" t="s">
        <v>515</v>
      </c>
    </row>
    <row r="158" spans="1:1" x14ac:dyDescent="0.25">
      <c r="A158" s="196" t="s">
        <v>232</v>
      </c>
    </row>
    <row r="159" spans="1:1" x14ac:dyDescent="0.25">
      <c r="A159" s="196" t="s">
        <v>225</v>
      </c>
    </row>
    <row r="160" spans="1:1" x14ac:dyDescent="0.25">
      <c r="A160" s="196" t="s">
        <v>367</v>
      </c>
    </row>
    <row r="161" spans="1:1" x14ac:dyDescent="0.25">
      <c r="A161" s="196" t="s">
        <v>248</v>
      </c>
    </row>
    <row r="162" spans="1:1" x14ac:dyDescent="0.25">
      <c r="A162" s="196" t="s">
        <v>249</v>
      </c>
    </row>
    <row r="163" spans="1:1" x14ac:dyDescent="0.25">
      <c r="A163" s="196" t="s">
        <v>250</v>
      </c>
    </row>
    <row r="164" spans="1:1" x14ac:dyDescent="0.25">
      <c r="A164" s="196" t="s">
        <v>251</v>
      </c>
    </row>
    <row r="165" spans="1:1" x14ac:dyDescent="0.25">
      <c r="A165" s="196" t="s">
        <v>232</v>
      </c>
    </row>
    <row r="166" spans="1:1" x14ac:dyDescent="0.25">
      <c r="A166" s="196" t="s">
        <v>368</v>
      </c>
    </row>
    <row r="167" spans="1:1" x14ac:dyDescent="0.25">
      <c r="A167" s="196" t="s">
        <v>286</v>
      </c>
    </row>
    <row r="168" spans="1:1" x14ac:dyDescent="0.25">
      <c r="A168" s="196" t="s">
        <v>369</v>
      </c>
    </row>
    <row r="169" spans="1:1" x14ac:dyDescent="0.25">
      <c r="A169" s="196" t="s">
        <v>370</v>
      </c>
    </row>
    <row r="170" spans="1:1" x14ac:dyDescent="0.25">
      <c r="A170" s="196" t="s">
        <v>371</v>
      </c>
    </row>
    <row r="171" spans="1:1" x14ac:dyDescent="0.25">
      <c r="A171" s="196" t="s">
        <v>287</v>
      </c>
    </row>
    <row r="172" spans="1:1" x14ac:dyDescent="0.25">
      <c r="A172" s="196" t="s">
        <v>288</v>
      </c>
    </row>
    <row r="173" spans="1:1" x14ac:dyDescent="0.25">
      <c r="A173" s="196" t="s">
        <v>289</v>
      </c>
    </row>
    <row r="174" spans="1:1" x14ac:dyDescent="0.25">
      <c r="A174" s="196" t="s">
        <v>372</v>
      </c>
    </row>
    <row r="175" spans="1:1" x14ac:dyDescent="0.25">
      <c r="A175" s="196" t="s">
        <v>290</v>
      </c>
    </row>
    <row r="176" spans="1:1" x14ac:dyDescent="0.25">
      <c r="A176" s="196" t="s">
        <v>232</v>
      </c>
    </row>
    <row r="177" spans="1:1" x14ac:dyDescent="0.25">
      <c r="A177" s="196" t="s">
        <v>373</v>
      </c>
    </row>
    <row r="178" spans="1:1" x14ac:dyDescent="0.25">
      <c r="A178" s="196" t="s">
        <v>374</v>
      </c>
    </row>
    <row r="179" spans="1:1" x14ac:dyDescent="0.25">
      <c r="A179" s="196" t="s">
        <v>375</v>
      </c>
    </row>
    <row r="180" spans="1:1" x14ac:dyDescent="0.25">
      <c r="A180" s="196" t="s">
        <v>376</v>
      </c>
    </row>
    <row r="181" spans="1:1" x14ac:dyDescent="0.25">
      <c r="A181" s="196" t="s">
        <v>377</v>
      </c>
    </row>
    <row r="182" spans="1:1" x14ac:dyDescent="0.25">
      <c r="A182" s="196" t="s">
        <v>378</v>
      </c>
    </row>
    <row r="183" spans="1:1" x14ac:dyDescent="0.25">
      <c r="A183" s="196" t="s">
        <v>379</v>
      </c>
    </row>
    <row r="184" spans="1:1" x14ac:dyDescent="0.25">
      <c r="A184" s="196" t="s">
        <v>247</v>
      </c>
    </row>
    <row r="185" spans="1:1" x14ac:dyDescent="0.25">
      <c r="A185" s="196" t="s">
        <v>380</v>
      </c>
    </row>
    <row r="186" spans="1:1" x14ac:dyDescent="0.25">
      <c r="A186" s="196" t="s">
        <v>381</v>
      </c>
    </row>
    <row r="187" spans="1:1" x14ac:dyDescent="0.25">
      <c r="A187" s="196" t="s">
        <v>382</v>
      </c>
    </row>
    <row r="188" spans="1:1" x14ac:dyDescent="0.25">
      <c r="A188" s="196" t="s">
        <v>232</v>
      </c>
    </row>
    <row r="189" spans="1:1" x14ac:dyDescent="0.25">
      <c r="A189" s="196" t="s">
        <v>252</v>
      </c>
    </row>
    <row r="190" spans="1:1" x14ac:dyDescent="0.25">
      <c r="A190" s="196" t="s">
        <v>383</v>
      </c>
    </row>
    <row r="191" spans="1:1" x14ac:dyDescent="0.25">
      <c r="A191" s="196" t="s">
        <v>384</v>
      </c>
    </row>
    <row r="192" spans="1:1" x14ac:dyDescent="0.25">
      <c r="A192" s="196" t="s">
        <v>385</v>
      </c>
    </row>
    <row r="193" spans="1:1" x14ac:dyDescent="0.25">
      <c r="A193" s="196" t="s">
        <v>253</v>
      </c>
    </row>
    <row r="194" spans="1:1" x14ac:dyDescent="0.25">
      <c r="A194" s="196" t="s">
        <v>254</v>
      </c>
    </row>
    <row r="195" spans="1:1" x14ac:dyDescent="0.25">
      <c r="A195" s="196" t="s">
        <v>285</v>
      </c>
    </row>
    <row r="196" spans="1:1" x14ac:dyDescent="0.25">
      <c r="A196" s="196" t="s">
        <v>210</v>
      </c>
    </row>
    <row r="197" spans="1:1" x14ac:dyDescent="0.25">
      <c r="A197" s="196" t="s">
        <v>386</v>
      </c>
    </row>
    <row r="198" spans="1:1" x14ac:dyDescent="0.25">
      <c r="A198" s="196" t="s">
        <v>225</v>
      </c>
    </row>
    <row r="199" spans="1:1" x14ac:dyDescent="0.25">
      <c r="A199" s="196" t="s">
        <v>255</v>
      </c>
    </row>
    <row r="200" spans="1:1" x14ac:dyDescent="0.25">
      <c r="A200" s="196" t="s">
        <v>291</v>
      </c>
    </row>
    <row r="201" spans="1:1" x14ac:dyDescent="0.25">
      <c r="A201" s="196" t="s">
        <v>256</v>
      </c>
    </row>
    <row r="202" spans="1:1" x14ac:dyDescent="0.25">
      <c r="A202" s="196" t="s">
        <v>257</v>
      </c>
    </row>
    <row r="203" spans="1:1" x14ac:dyDescent="0.25">
      <c r="A203" s="196" t="s">
        <v>258</v>
      </c>
    </row>
    <row r="204" spans="1:1" x14ac:dyDescent="0.25">
      <c r="A204" s="196" t="s">
        <v>225</v>
      </c>
    </row>
    <row r="205" spans="1:1" x14ac:dyDescent="0.25">
      <c r="A205" s="196" t="s">
        <v>387</v>
      </c>
    </row>
    <row r="206" spans="1:1" x14ac:dyDescent="0.25">
      <c r="A206" s="196" t="s">
        <v>292</v>
      </c>
    </row>
    <row r="207" spans="1:1" x14ac:dyDescent="0.25">
      <c r="A207" s="196" t="s">
        <v>293</v>
      </c>
    </row>
    <row r="208" spans="1:1" x14ac:dyDescent="0.25">
      <c r="A208" s="196" t="s">
        <v>260</v>
      </c>
    </row>
    <row r="209" spans="1:1" x14ac:dyDescent="0.25">
      <c r="A209" s="196" t="s">
        <v>261</v>
      </c>
    </row>
    <row r="210" spans="1:1" x14ac:dyDescent="0.25">
      <c r="A210" s="196" t="s">
        <v>388</v>
      </c>
    </row>
    <row r="211" spans="1:1" x14ac:dyDescent="0.25">
      <c r="A211" s="196" t="s">
        <v>389</v>
      </c>
    </row>
    <row r="212" spans="1:1" x14ac:dyDescent="0.25">
      <c r="A212" s="196" t="s">
        <v>390</v>
      </c>
    </row>
    <row r="213" spans="1:1" x14ac:dyDescent="0.25">
      <c r="A213" s="196" t="s">
        <v>391</v>
      </c>
    </row>
    <row r="214" spans="1:1" x14ac:dyDescent="0.25">
      <c r="A214" s="196" t="s">
        <v>392</v>
      </c>
    </row>
    <row r="215" spans="1:1" x14ac:dyDescent="0.25">
      <c r="A215" s="196" t="s">
        <v>274</v>
      </c>
    </row>
    <row r="216" spans="1:1" x14ac:dyDescent="0.25">
      <c r="A216" s="196" t="s">
        <v>263</v>
      </c>
    </row>
    <row r="217" spans="1:1" x14ac:dyDescent="0.25">
      <c r="A217" s="196" t="s">
        <v>247</v>
      </c>
    </row>
    <row r="218" spans="1:1" x14ac:dyDescent="0.25">
      <c r="A218" s="196" t="s">
        <v>260</v>
      </c>
    </row>
    <row r="219" spans="1:1" x14ac:dyDescent="0.25">
      <c r="A219" s="196" t="s">
        <v>261</v>
      </c>
    </row>
    <row r="220" spans="1:1" x14ac:dyDescent="0.25">
      <c r="A220" s="196" t="s">
        <v>393</v>
      </c>
    </row>
    <row r="221" spans="1:1" x14ac:dyDescent="0.25">
      <c r="A221" s="196" t="s">
        <v>394</v>
      </c>
    </row>
    <row r="222" spans="1:1" x14ac:dyDescent="0.25">
      <c r="A222" s="196" t="s">
        <v>395</v>
      </c>
    </row>
    <row r="223" spans="1:1" x14ac:dyDescent="0.25">
      <c r="A223" s="196" t="s">
        <v>262</v>
      </c>
    </row>
    <row r="224" spans="1:1" x14ac:dyDescent="0.25">
      <c r="A224" s="196" t="s">
        <v>263</v>
      </c>
    </row>
    <row r="225" spans="1:1" x14ac:dyDescent="0.25">
      <c r="A225" s="196" t="s">
        <v>247</v>
      </c>
    </row>
    <row r="226" spans="1:1" x14ac:dyDescent="0.25">
      <c r="A226" s="196" t="s">
        <v>225</v>
      </c>
    </row>
    <row r="227" spans="1:1" x14ac:dyDescent="0.25">
      <c r="A227" s="196" t="s">
        <v>396</v>
      </c>
    </row>
    <row r="228" spans="1:1" x14ac:dyDescent="0.25">
      <c r="A228" s="196" t="s">
        <v>259</v>
      </c>
    </row>
    <row r="229" spans="1:1" x14ac:dyDescent="0.25">
      <c r="A229" s="196" t="s">
        <v>397</v>
      </c>
    </row>
    <row r="230" spans="1:1" x14ac:dyDescent="0.25">
      <c r="A230" s="196" t="s">
        <v>398</v>
      </c>
    </row>
    <row r="231" spans="1:1" x14ac:dyDescent="0.25">
      <c r="A231" s="196" t="s">
        <v>399</v>
      </c>
    </row>
    <row r="232" spans="1:1" x14ac:dyDescent="0.25">
      <c r="A232" s="196" t="s">
        <v>400</v>
      </c>
    </row>
    <row r="233" spans="1:1" x14ac:dyDescent="0.25">
      <c r="A233" s="196" t="s">
        <v>247</v>
      </c>
    </row>
    <row r="234" spans="1:1" x14ac:dyDescent="0.25">
      <c r="A234" s="196" t="s">
        <v>401</v>
      </c>
    </row>
    <row r="235" spans="1:1" x14ac:dyDescent="0.25">
      <c r="A235" s="196" t="s">
        <v>402</v>
      </c>
    </row>
    <row r="236" spans="1:1" x14ac:dyDescent="0.25">
      <c r="A236" s="196" t="s">
        <v>403</v>
      </c>
    </row>
    <row r="237" spans="1:1" x14ac:dyDescent="0.25">
      <c r="A237" s="196" t="s">
        <v>247</v>
      </c>
    </row>
    <row r="238" spans="1:1" x14ac:dyDescent="0.25">
      <c r="A238" s="196" t="s">
        <v>401</v>
      </c>
    </row>
    <row r="239" spans="1:1" x14ac:dyDescent="0.25">
      <c r="A239" s="196" t="s">
        <v>404</v>
      </c>
    </row>
    <row r="240" spans="1:1" x14ac:dyDescent="0.25">
      <c r="A240" s="196" t="s">
        <v>403</v>
      </c>
    </row>
    <row r="241" spans="1:1" x14ac:dyDescent="0.25">
      <c r="A241" s="196" t="s">
        <v>247</v>
      </c>
    </row>
    <row r="242" spans="1:1" x14ac:dyDescent="0.25">
      <c r="A242" s="196" t="s">
        <v>401</v>
      </c>
    </row>
    <row r="243" spans="1:1" x14ac:dyDescent="0.25">
      <c r="A243" s="196" t="s">
        <v>261</v>
      </c>
    </row>
    <row r="244" spans="1:1" x14ac:dyDescent="0.25">
      <c r="A244" s="196" t="s">
        <v>405</v>
      </c>
    </row>
    <row r="245" spans="1:1" x14ac:dyDescent="0.25">
      <c r="A245" s="196" t="s">
        <v>406</v>
      </c>
    </row>
    <row r="246" spans="1:1" x14ac:dyDescent="0.25">
      <c r="A246" s="196" t="s">
        <v>263</v>
      </c>
    </row>
    <row r="247" spans="1:1" x14ac:dyDescent="0.25">
      <c r="A247" s="196" t="s">
        <v>247</v>
      </c>
    </row>
    <row r="248" spans="1:1" x14ac:dyDescent="0.25">
      <c r="A248" s="196" t="s">
        <v>225</v>
      </c>
    </row>
    <row r="249" spans="1:1" x14ac:dyDescent="0.25">
      <c r="A249" s="196" t="s">
        <v>407</v>
      </c>
    </row>
    <row r="250" spans="1:1" x14ac:dyDescent="0.25">
      <c r="A250" s="196" t="s">
        <v>259</v>
      </c>
    </row>
    <row r="251" spans="1:1" x14ac:dyDescent="0.25">
      <c r="A251" s="196" t="s">
        <v>530</v>
      </c>
    </row>
    <row r="252" spans="1:1" x14ac:dyDescent="0.25">
      <c r="A252" s="196" t="s">
        <v>264</v>
      </c>
    </row>
    <row r="253" spans="1:1" x14ac:dyDescent="0.25">
      <c r="A253" s="196" t="s">
        <v>408</v>
      </c>
    </row>
    <row r="254" spans="1:1" x14ac:dyDescent="0.25">
      <c r="A254" s="196" t="s">
        <v>409</v>
      </c>
    </row>
    <row r="255" spans="1:1" x14ac:dyDescent="0.25">
      <c r="A255" s="196" t="s">
        <v>265</v>
      </c>
    </row>
    <row r="256" spans="1:1" x14ac:dyDescent="0.25">
      <c r="A256" s="196" t="s">
        <v>266</v>
      </c>
    </row>
    <row r="257" spans="1:1" x14ac:dyDescent="0.25">
      <c r="A257" s="196" t="s">
        <v>267</v>
      </c>
    </row>
    <row r="258" spans="1:1" x14ac:dyDescent="0.25">
      <c r="A258" s="196" t="s">
        <v>263</v>
      </c>
    </row>
    <row r="259" spans="1:1" x14ac:dyDescent="0.25">
      <c r="A259" s="196" t="s">
        <v>247</v>
      </c>
    </row>
    <row r="260" spans="1:1" x14ac:dyDescent="0.25">
      <c r="A260" s="196" t="s">
        <v>225</v>
      </c>
    </row>
    <row r="261" spans="1:1" x14ac:dyDescent="0.25">
      <c r="A261" s="196" t="s">
        <v>410</v>
      </c>
    </row>
    <row r="262" spans="1:1" x14ac:dyDescent="0.25">
      <c r="A262" s="196" t="s">
        <v>411</v>
      </c>
    </row>
    <row r="263" spans="1:1" x14ac:dyDescent="0.25">
      <c r="A263" s="196" t="s">
        <v>412</v>
      </c>
    </row>
    <row r="264" spans="1:1" x14ac:dyDescent="0.25">
      <c r="A264" s="196" t="s">
        <v>259</v>
      </c>
    </row>
    <row r="265" spans="1:1" x14ac:dyDescent="0.25">
      <c r="A265" s="196" t="s">
        <v>413</v>
      </c>
    </row>
    <row r="266" spans="1:1" x14ac:dyDescent="0.25">
      <c r="A266" s="196" t="s">
        <v>414</v>
      </c>
    </row>
    <row r="267" spans="1:1" x14ac:dyDescent="0.25">
      <c r="A267" s="196" t="s">
        <v>415</v>
      </c>
    </row>
    <row r="268" spans="1:1" x14ac:dyDescent="0.25">
      <c r="A268" s="196" t="s">
        <v>416</v>
      </c>
    </row>
    <row r="269" spans="1:1" x14ac:dyDescent="0.25">
      <c r="A269" s="196" t="s">
        <v>417</v>
      </c>
    </row>
    <row r="270" spans="1:1" x14ac:dyDescent="0.25">
      <c r="A270" s="196" t="s">
        <v>418</v>
      </c>
    </row>
    <row r="271" spans="1:1" x14ac:dyDescent="0.25">
      <c r="A271" s="196" t="s">
        <v>419</v>
      </c>
    </row>
    <row r="272" spans="1:1" x14ac:dyDescent="0.25">
      <c r="A272" s="196" t="s">
        <v>420</v>
      </c>
    </row>
    <row r="273" spans="1:1" x14ac:dyDescent="0.25">
      <c r="A273" s="196" t="s">
        <v>263</v>
      </c>
    </row>
    <row r="274" spans="1:1" x14ac:dyDescent="0.25">
      <c r="A274" s="196" t="s">
        <v>247</v>
      </c>
    </row>
    <row r="275" spans="1:1" x14ac:dyDescent="0.25">
      <c r="A275" s="196" t="s">
        <v>421</v>
      </c>
    </row>
    <row r="276" spans="1:1" x14ac:dyDescent="0.25">
      <c r="A276" s="196" t="s">
        <v>259</v>
      </c>
    </row>
    <row r="277" spans="1:1" x14ac:dyDescent="0.25">
      <c r="A277" s="196" t="s">
        <v>422</v>
      </c>
    </row>
    <row r="278" spans="1:1" x14ac:dyDescent="0.25">
      <c r="A278" s="196" t="s">
        <v>423</v>
      </c>
    </row>
    <row r="279" spans="1:1" x14ac:dyDescent="0.25">
      <c r="A279" s="196" t="s">
        <v>424</v>
      </c>
    </row>
    <row r="280" spans="1:1" x14ac:dyDescent="0.25">
      <c r="A280" s="196" t="s">
        <v>425</v>
      </c>
    </row>
    <row r="281" spans="1:1" x14ac:dyDescent="0.25">
      <c r="A281" s="196" t="s">
        <v>426</v>
      </c>
    </row>
    <row r="282" spans="1:1" x14ac:dyDescent="0.25">
      <c r="A282" s="196" t="s">
        <v>427</v>
      </c>
    </row>
    <row r="283" spans="1:1" x14ac:dyDescent="0.25">
      <c r="A283" s="196" t="s">
        <v>247</v>
      </c>
    </row>
    <row r="284" spans="1:1" x14ac:dyDescent="0.25">
      <c r="A284" s="196" t="s">
        <v>428</v>
      </c>
    </row>
    <row r="285" spans="1:1" x14ac:dyDescent="0.25">
      <c r="A285" s="196" t="s">
        <v>429</v>
      </c>
    </row>
    <row r="286" spans="1:1" x14ac:dyDescent="0.25">
      <c r="A286" s="196" t="s">
        <v>430</v>
      </c>
    </row>
    <row r="287" spans="1:1" x14ac:dyDescent="0.25">
      <c r="A287" s="196" t="s">
        <v>431</v>
      </c>
    </row>
    <row r="288" spans="1:1" x14ac:dyDescent="0.25">
      <c r="A288" s="196" t="s">
        <v>268</v>
      </c>
    </row>
    <row r="289" spans="1:1" x14ac:dyDescent="0.25">
      <c r="A289" s="196" t="s">
        <v>432</v>
      </c>
    </row>
    <row r="290" spans="1:1" x14ac:dyDescent="0.25">
      <c r="A290" s="196" t="s">
        <v>433</v>
      </c>
    </row>
    <row r="291" spans="1:1" x14ac:dyDescent="0.25">
      <c r="A291" s="196" t="s">
        <v>434</v>
      </c>
    </row>
    <row r="292" spans="1:1" x14ac:dyDescent="0.25">
      <c r="A292" s="196" t="s">
        <v>435</v>
      </c>
    </row>
    <row r="293" spans="1:1" x14ac:dyDescent="0.25">
      <c r="A293" s="196" t="s">
        <v>436</v>
      </c>
    </row>
    <row r="294" spans="1:1" x14ac:dyDescent="0.25">
      <c r="A294" s="196" t="s">
        <v>437</v>
      </c>
    </row>
    <row r="295" spans="1:1" x14ac:dyDescent="0.25">
      <c r="A295" s="196" t="s">
        <v>438</v>
      </c>
    </row>
    <row r="296" spans="1:1" x14ac:dyDescent="0.25">
      <c r="A296" s="196" t="s">
        <v>439</v>
      </c>
    </row>
    <row r="297" spans="1:1" x14ac:dyDescent="0.25">
      <c r="A297" s="196" t="s">
        <v>440</v>
      </c>
    </row>
    <row r="298" spans="1:1" x14ac:dyDescent="0.25">
      <c r="A298" s="196" t="s">
        <v>247</v>
      </c>
    </row>
    <row r="299" spans="1:1" x14ac:dyDescent="0.25">
      <c r="A299" s="196" t="s">
        <v>441</v>
      </c>
    </row>
    <row r="300" spans="1:1" x14ac:dyDescent="0.25">
      <c r="A300" s="196" t="s">
        <v>294</v>
      </c>
    </row>
    <row r="301" spans="1:1" x14ac:dyDescent="0.25">
      <c r="A301" s="196" t="s">
        <v>261</v>
      </c>
    </row>
    <row r="302" spans="1:1" x14ac:dyDescent="0.25">
      <c r="A302" s="196" t="s">
        <v>442</v>
      </c>
    </row>
    <row r="303" spans="1:1" x14ac:dyDescent="0.25">
      <c r="A303" s="196" t="s">
        <v>443</v>
      </c>
    </row>
    <row r="304" spans="1:1" x14ac:dyDescent="0.25">
      <c r="A304" s="196" t="s">
        <v>444</v>
      </c>
    </row>
    <row r="305" spans="1:1" x14ac:dyDescent="0.25">
      <c r="A305" s="196" t="s">
        <v>263</v>
      </c>
    </row>
    <row r="306" spans="1:1" x14ac:dyDescent="0.25">
      <c r="A306" s="196" t="s">
        <v>247</v>
      </c>
    </row>
    <row r="307" spans="1:1" x14ac:dyDescent="0.25">
      <c r="A307" s="196" t="s">
        <v>445</v>
      </c>
    </row>
    <row r="308" spans="1:1" x14ac:dyDescent="0.25">
      <c r="A308" s="196" t="s">
        <v>269</v>
      </c>
    </row>
    <row r="309" spans="1:1" x14ac:dyDescent="0.25">
      <c r="A309" s="196" t="s">
        <v>270</v>
      </c>
    </row>
    <row r="310" spans="1:1" x14ac:dyDescent="0.25">
      <c r="A310" s="196" t="s">
        <v>446</v>
      </c>
    </row>
    <row r="311" spans="1:1" x14ac:dyDescent="0.25">
      <c r="A311" s="196" t="s">
        <v>271</v>
      </c>
    </row>
    <row r="312" spans="1:1" x14ac:dyDescent="0.25">
      <c r="A312" s="196" t="s">
        <v>272</v>
      </c>
    </row>
    <row r="313" spans="1:1" x14ac:dyDescent="0.25">
      <c r="A313" s="196" t="s">
        <v>273</v>
      </c>
    </row>
    <row r="314" spans="1:1" x14ac:dyDescent="0.25">
      <c r="A314" s="196" t="s">
        <v>447</v>
      </c>
    </row>
    <row r="315" spans="1:1" x14ac:dyDescent="0.25">
      <c r="A315" s="196" t="s">
        <v>448</v>
      </c>
    </row>
    <row r="316" spans="1:1" x14ac:dyDescent="0.25">
      <c r="A316" s="196" t="s">
        <v>449</v>
      </c>
    </row>
    <row r="317" spans="1:1" x14ac:dyDescent="0.25">
      <c r="A317" s="196" t="s">
        <v>450</v>
      </c>
    </row>
    <row r="318" spans="1:1" x14ac:dyDescent="0.25">
      <c r="A318" s="196" t="s">
        <v>451</v>
      </c>
    </row>
    <row r="319" spans="1:1" x14ac:dyDescent="0.25">
      <c r="A319" s="196" t="s">
        <v>452</v>
      </c>
    </row>
    <row r="320" spans="1:1" x14ac:dyDescent="0.25">
      <c r="A320" s="196" t="s">
        <v>453</v>
      </c>
    </row>
    <row r="321" spans="1:1" x14ac:dyDescent="0.25">
      <c r="A321" s="196" t="s">
        <v>454</v>
      </c>
    </row>
    <row r="322" spans="1:1" x14ac:dyDescent="0.25">
      <c r="A322" s="196" t="s">
        <v>455</v>
      </c>
    </row>
    <row r="323" spans="1:1" x14ac:dyDescent="0.25">
      <c r="A323" s="196" t="s">
        <v>456</v>
      </c>
    </row>
    <row r="324" spans="1:1" x14ac:dyDescent="0.25">
      <c r="A324" s="196" t="s">
        <v>457</v>
      </c>
    </row>
    <row r="325" spans="1:1" x14ac:dyDescent="0.25">
      <c r="A325" s="196" t="s">
        <v>458</v>
      </c>
    </row>
    <row r="326" spans="1:1" x14ac:dyDescent="0.25">
      <c r="A326" s="196" t="s">
        <v>274</v>
      </c>
    </row>
    <row r="327" spans="1:1" x14ac:dyDescent="0.25">
      <c r="A327" s="196" t="s">
        <v>263</v>
      </c>
    </row>
    <row r="328" spans="1:1" x14ac:dyDescent="0.25">
      <c r="A328" s="196" t="s">
        <v>247</v>
      </c>
    </row>
    <row r="329" spans="1:1" x14ac:dyDescent="0.25">
      <c r="A329" s="196" t="s">
        <v>225</v>
      </c>
    </row>
    <row r="330" spans="1:1" x14ac:dyDescent="0.25">
      <c r="A330" s="196" t="s">
        <v>459</v>
      </c>
    </row>
    <row r="331" spans="1:1" x14ac:dyDescent="0.25">
      <c r="A331" s="196" t="s">
        <v>295</v>
      </c>
    </row>
    <row r="332" spans="1:1" x14ac:dyDescent="0.25">
      <c r="A332" s="196" t="s">
        <v>261</v>
      </c>
    </row>
    <row r="333" spans="1:1" x14ac:dyDescent="0.25">
      <c r="A333" s="196" t="s">
        <v>460</v>
      </c>
    </row>
    <row r="334" spans="1:1" x14ac:dyDescent="0.25">
      <c r="A334" s="196" t="s">
        <v>461</v>
      </c>
    </row>
    <row r="335" spans="1:1" x14ac:dyDescent="0.25">
      <c r="A335" s="196" t="s">
        <v>462</v>
      </c>
    </row>
    <row r="336" spans="1:1" x14ac:dyDescent="0.25">
      <c r="A336" s="196" t="s">
        <v>463</v>
      </c>
    </row>
    <row r="337" spans="1:1" x14ac:dyDescent="0.25">
      <c r="A337" s="196" t="s">
        <v>274</v>
      </c>
    </row>
    <row r="338" spans="1:1" x14ac:dyDescent="0.25">
      <c r="A338" s="196" t="s">
        <v>263</v>
      </c>
    </row>
    <row r="339" spans="1:1" x14ac:dyDescent="0.25">
      <c r="A339" s="196" t="s">
        <v>247</v>
      </c>
    </row>
    <row r="340" spans="1:1" x14ac:dyDescent="0.25">
      <c r="A340" s="196" t="s">
        <v>295</v>
      </c>
    </row>
    <row r="341" spans="1:1" x14ac:dyDescent="0.25">
      <c r="A341" s="196" t="s">
        <v>261</v>
      </c>
    </row>
    <row r="342" spans="1:1" x14ac:dyDescent="0.25">
      <c r="A342" s="196" t="s">
        <v>464</v>
      </c>
    </row>
    <row r="343" spans="1:1" x14ac:dyDescent="0.25">
      <c r="A343" s="196" t="s">
        <v>465</v>
      </c>
    </row>
    <row r="344" spans="1:1" x14ac:dyDescent="0.25">
      <c r="A344" s="196" t="s">
        <v>263</v>
      </c>
    </row>
    <row r="345" spans="1:1" x14ac:dyDescent="0.25">
      <c r="A345" s="196" t="s">
        <v>247</v>
      </c>
    </row>
    <row r="346" spans="1:1" x14ac:dyDescent="0.25">
      <c r="A346" s="196" t="s">
        <v>295</v>
      </c>
    </row>
    <row r="347" spans="1:1" x14ac:dyDescent="0.25">
      <c r="A347" s="196" t="s">
        <v>466</v>
      </c>
    </row>
    <row r="348" spans="1:1" x14ac:dyDescent="0.25">
      <c r="A348" s="196" t="s">
        <v>247</v>
      </c>
    </row>
    <row r="349" spans="1:1" x14ac:dyDescent="0.25">
      <c r="A349" s="196" t="s">
        <v>467</v>
      </c>
    </row>
    <row r="350" spans="1:1" x14ac:dyDescent="0.25">
      <c r="A350" s="196" t="s">
        <v>225</v>
      </c>
    </row>
    <row r="351" spans="1:1" x14ac:dyDescent="0.25">
      <c r="A351" s="196" t="s">
        <v>468</v>
      </c>
    </row>
    <row r="352" spans="1:1" x14ac:dyDescent="0.25">
      <c r="A352" s="196" t="s">
        <v>275</v>
      </c>
    </row>
    <row r="353" spans="1:1" x14ac:dyDescent="0.25">
      <c r="A353" s="196" t="s">
        <v>276</v>
      </c>
    </row>
    <row r="354" spans="1:1" x14ac:dyDescent="0.25">
      <c r="A354" s="196" t="s">
        <v>296</v>
      </c>
    </row>
    <row r="355" spans="1:1" x14ac:dyDescent="0.25">
      <c r="A355" s="196" t="s">
        <v>469</v>
      </c>
    </row>
    <row r="356" spans="1:1" x14ac:dyDescent="0.25">
      <c r="A356" s="196" t="s">
        <v>232</v>
      </c>
    </row>
    <row r="357" spans="1:1" x14ac:dyDescent="0.25">
      <c r="A357" s="196" t="s">
        <v>225</v>
      </c>
    </row>
    <row r="358" spans="1:1" x14ac:dyDescent="0.25">
      <c r="A358" s="196" t="s">
        <v>470</v>
      </c>
    </row>
    <row r="359" spans="1:1" x14ac:dyDescent="0.25">
      <c r="A359" s="196" t="s">
        <v>471</v>
      </c>
    </row>
    <row r="360" spans="1:1" x14ac:dyDescent="0.25">
      <c r="A360" s="196" t="s">
        <v>472</v>
      </c>
    </row>
    <row r="361" spans="1:1" x14ac:dyDescent="0.25">
      <c r="A361" s="196" t="s">
        <v>473</v>
      </c>
    </row>
    <row r="362" spans="1:1" x14ac:dyDescent="0.25">
      <c r="A362" s="196" t="s">
        <v>474</v>
      </c>
    </row>
    <row r="363" spans="1:1" x14ac:dyDescent="0.25">
      <c r="A363" s="196" t="s">
        <v>475</v>
      </c>
    </row>
    <row r="364" spans="1:1" x14ac:dyDescent="0.25">
      <c r="A364" s="196" t="s">
        <v>476</v>
      </c>
    </row>
    <row r="365" spans="1:1" x14ac:dyDescent="0.25">
      <c r="A365" s="196" t="s">
        <v>247</v>
      </c>
    </row>
    <row r="366" spans="1:1" x14ac:dyDescent="0.25">
      <c r="A366" s="196" t="s">
        <v>477</v>
      </c>
    </row>
    <row r="367" spans="1:1" x14ac:dyDescent="0.25">
      <c r="A367" s="196" t="s">
        <v>232</v>
      </c>
    </row>
    <row r="368" spans="1:1" x14ac:dyDescent="0.25">
      <c r="A368" s="196" t="s">
        <v>277</v>
      </c>
    </row>
    <row r="369" spans="1:1" x14ac:dyDescent="0.25">
      <c r="A369" s="196" t="s">
        <v>225</v>
      </c>
    </row>
    <row r="370" spans="1:1" x14ac:dyDescent="0.25">
      <c r="A370" s="196" t="s">
        <v>478</v>
      </c>
    </row>
    <row r="371" spans="1:1" x14ac:dyDescent="0.25">
      <c r="A371" s="196" t="s">
        <v>479</v>
      </c>
    </row>
    <row r="372" spans="1:1" x14ac:dyDescent="0.25">
      <c r="A372" s="196" t="s">
        <v>480</v>
      </c>
    </row>
    <row r="373" spans="1:1" x14ac:dyDescent="0.25">
      <c r="A373" s="196" t="s">
        <v>516</v>
      </c>
    </row>
    <row r="374" spans="1:1" x14ac:dyDescent="0.25">
      <c r="A374" s="196" t="s">
        <v>481</v>
      </c>
    </row>
    <row r="375" spans="1:1" x14ac:dyDescent="0.25">
      <c r="A375" s="196" t="s">
        <v>232</v>
      </c>
    </row>
    <row r="376" spans="1:1" x14ac:dyDescent="0.25">
      <c r="A376" s="196" t="s">
        <v>225</v>
      </c>
    </row>
    <row r="377" spans="1:1" x14ac:dyDescent="0.25">
      <c r="A377" s="196" t="s">
        <v>278</v>
      </c>
    </row>
    <row r="378" spans="1:1" x14ac:dyDescent="0.25">
      <c r="A378" s="196" t="s">
        <v>279</v>
      </c>
    </row>
    <row r="379" spans="1:1" x14ac:dyDescent="0.25">
      <c r="A379" s="196" t="s">
        <v>482</v>
      </c>
    </row>
    <row r="380" spans="1:1" x14ac:dyDescent="0.25">
      <c r="A380" s="196" t="s">
        <v>517</v>
      </c>
    </row>
    <row r="381" spans="1:1" x14ac:dyDescent="0.25">
      <c r="A381" s="196" t="s">
        <v>280</v>
      </c>
    </row>
    <row r="382" spans="1:1" x14ac:dyDescent="0.25">
      <c r="A382" s="196" t="s">
        <v>247</v>
      </c>
    </row>
    <row r="383" spans="1:1" x14ac:dyDescent="0.25">
      <c r="A383" s="196" t="s">
        <v>281</v>
      </c>
    </row>
    <row r="384" spans="1:1" x14ac:dyDescent="0.25">
      <c r="A384" s="196" t="s">
        <v>483</v>
      </c>
    </row>
    <row r="385" spans="1:1" x14ac:dyDescent="0.25">
      <c r="A385" s="196" t="s">
        <v>484</v>
      </c>
    </row>
    <row r="386" spans="1:1" x14ac:dyDescent="0.25">
      <c r="A386" s="196" t="s">
        <v>485</v>
      </c>
    </row>
    <row r="387" spans="1:1" x14ac:dyDescent="0.25">
      <c r="A387" s="196" t="s">
        <v>282</v>
      </c>
    </row>
    <row r="388" spans="1:1" x14ac:dyDescent="0.25">
      <c r="A388" s="196" t="s">
        <v>531</v>
      </c>
    </row>
    <row r="389" spans="1:1" x14ac:dyDescent="0.25">
      <c r="A389" s="196" t="s">
        <v>283</v>
      </c>
    </row>
    <row r="390" spans="1:1" x14ac:dyDescent="0.25">
      <c r="A390" s="196" t="s">
        <v>232</v>
      </c>
    </row>
    <row r="391" spans="1:1" x14ac:dyDescent="0.25">
      <c r="A391" s="196" t="s">
        <v>284</v>
      </c>
    </row>
    <row r="392" spans="1:1" x14ac:dyDescent="0.25">
      <c r="A392" s="196" t="s">
        <v>225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8</vt:i4>
      </vt:variant>
    </vt:vector>
  </HeadingPairs>
  <TitlesOfParts>
    <vt:vector size="18" baseType="lpstr">
      <vt:lpstr>Ersatzteil-Rückgabe-Schein</vt:lpstr>
      <vt:lpstr>Ersatzteilbestellung-Kunde</vt:lpstr>
      <vt:lpstr>Ersatzteilbestellung-Monteur</vt:lpstr>
      <vt:lpstr>Garantieteil-Rückgabe-Schein</vt:lpstr>
      <vt:lpstr>Rep.auftrag+Kostenvor.</vt:lpstr>
      <vt:lpstr>Urlaubsantrag</vt:lpstr>
      <vt:lpstr>Technischer-Bericht</vt:lpstr>
      <vt:lpstr>Prüfung elektr. Geräte</vt:lpstr>
      <vt:lpstr>Geräteliste</vt:lpstr>
      <vt:lpstr>Typenschild-Text</vt:lpstr>
      <vt:lpstr>'Ersatzteilbestellung-Kunde'!Druckbereich</vt:lpstr>
      <vt:lpstr>'Ersatzteilbestellung-Monteur'!Druckbereich</vt:lpstr>
      <vt:lpstr>'Ersatzteil-Rückgabe-Schein'!Druckbereich</vt:lpstr>
      <vt:lpstr>'Garantieteil-Rückgabe-Schein'!Druckbereich</vt:lpstr>
      <vt:lpstr>'Prüfung elektr. Geräte'!Druckbereich</vt:lpstr>
      <vt:lpstr>'Rep.auftrag+Kostenvor.'!Druckbereich</vt:lpstr>
      <vt:lpstr>'Technischer-Bericht'!Druckbereich</vt:lpstr>
      <vt:lpstr>Urlaubsantrag!Druckbereich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2026-10-12T09:36:03Z</dcterms:created>
  <dcterms:modified xsi:type="dcterms:W3CDTF">2026-10-18T12:28:28Z</dcterms:modified>
</cp:coreProperties>
</file>